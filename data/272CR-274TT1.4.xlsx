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FL\data\"/>
    </mc:Choice>
  </mc:AlternateContent>
  <xr:revisionPtr revIDLastSave="0" documentId="13_ncr:1_{A1223B87-393D-4718-8E52-C6035100ED30}" xr6:coauthVersionLast="47" xr6:coauthVersionMax="47" xr10:uidLastSave="{00000000-0000-0000-0000-000000000000}"/>
  <bookViews>
    <workbookView xWindow="-108" yWindow="-108" windowWidth="23256" windowHeight="12456" xr2:uid="{730F2A54-7BC1-4440-AEC9-B7C49BB89322}"/>
  </bookViews>
  <sheets>
    <sheet name="272CR-274TT1.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9" i="1" l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<sst xmlns="http://schemas.openxmlformats.org/spreadsheetml/2006/main" count="354" uniqueCount="209">
  <si>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</si>
  <si>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</si>
  <si>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</si>
  <si>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</si>
  <si>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</si>
  <si>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</si>
  <si>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</si>
  <si>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</si>
  <si>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T220CR</t>
  </si>
  <si>
    <t>92/24</t>
  </si>
  <si>
    <t>Néo góc</t>
  </si>
  <si>
    <t>CBA</t>
  </si>
  <si>
    <t>109.151940121879</t>
  </si>
  <si>
    <t>12.0385651753439</t>
  </si>
  <si>
    <t>92/23</t>
  </si>
  <si>
    <t>109.150610398152</t>
  </si>
  <si>
    <t>12.0381825744914</t>
  </si>
  <si>
    <t>92/22</t>
  </si>
  <si>
    <t>Đỡ thẳng</t>
  </si>
  <si>
    <t>109.145817462717</t>
  </si>
  <si>
    <t>12.0391512864099</t>
  </si>
  <si>
    <t>92/21</t>
  </si>
  <si>
    <r>
      <t>5T=21</t>
    </r>
    <r>
      <rPr>
        <vertAlign val="superscript"/>
        <sz val="10"/>
        <rFont val="Aptos Display"/>
        <family val="2"/>
        <scheme val="major"/>
      </rPr>
      <t>0</t>
    </r>
    <r>
      <rPr>
        <sz val="10"/>
        <rFont val="Aptos Display"/>
        <family val="2"/>
        <scheme val="major"/>
      </rPr>
      <t>05'</t>
    </r>
  </si>
  <si>
    <t>109.142668846415</t>
  </si>
  <si>
    <t>12.0397877614523</t>
  </si>
  <si>
    <t>92/20</t>
  </si>
  <si>
    <t>109.139538310957</t>
  </si>
  <si>
    <t>12.0404204741774</t>
  </si>
  <si>
    <t>92/19</t>
  </si>
  <si>
    <t>109.136551655901</t>
  </si>
  <si>
    <t>12.041024030784</t>
  </si>
  <si>
    <t>92/18</t>
  </si>
  <si>
    <t>109.133879783114</t>
  </si>
  <si>
    <t>12.0415639865652</t>
  </si>
  <si>
    <t>92/17</t>
  </si>
  <si>
    <t>109.130973964362</t>
  </si>
  <si>
    <t>12.0421511473698</t>
  </si>
  <si>
    <t>92/16</t>
  </si>
  <si>
    <t>Néo thẳng</t>
  </si>
  <si>
    <t>109.12755542725</t>
  </si>
  <si>
    <t>12.0428417783605</t>
  </si>
  <si>
    <t>92/15</t>
  </si>
  <si>
    <t>109.125033369877</t>
  </si>
  <si>
    <t>12.0433514668975</t>
  </si>
  <si>
    <t>92/14</t>
  </si>
  <si>
    <t>109.122285391951</t>
  </si>
  <si>
    <t>12.0414331568851</t>
  </si>
  <si>
    <t>92/13</t>
  </si>
  <si>
    <t>109.119453709481</t>
  </si>
  <si>
    <t>12.0394562474959</t>
  </si>
  <si>
    <t>92/12</t>
  </si>
  <si>
    <t>109.115783186558</t>
  </si>
  <si>
    <t>12.036893787137</t>
  </si>
  <si>
    <t>92/11</t>
  </si>
  <si>
    <t>109.11263709092</t>
  </si>
  <si>
    <t>12.0346972620906</t>
  </si>
  <si>
    <t>92/10</t>
  </si>
  <si>
    <t>109.109528948556</t>
  </si>
  <si>
    <t>12.0351802969572</t>
  </si>
  <si>
    <t>92/9</t>
  </si>
  <si>
    <t>109.104040810702</t>
  </si>
  <si>
    <t>12.0360331382629</t>
  </si>
  <si>
    <t>92/8</t>
  </si>
  <si>
    <t>109.097952002674</t>
  </si>
  <si>
    <t>12.0369791908007</t>
  </si>
  <si>
    <t>92/7</t>
  </si>
  <si>
    <r>
      <t>4P=30</t>
    </r>
    <r>
      <rPr>
        <vertAlign val="superscript"/>
        <sz val="10"/>
        <rFont val="Aptos Display"/>
        <family val="2"/>
        <scheme val="major"/>
      </rPr>
      <t>0</t>
    </r>
    <r>
      <rPr>
        <sz val="10"/>
        <rFont val="Aptos Display"/>
        <family val="2"/>
        <scheme val="major"/>
      </rPr>
      <t>05'</t>
    </r>
  </si>
  <si>
    <t>109.093349492156</t>
  </si>
  <si>
    <t>12.0376942064924</t>
  </si>
  <si>
    <t>92/6</t>
  </si>
  <si>
    <t>109.088171199603</t>
  </si>
  <si>
    <t>12.0347265962824</t>
  </si>
  <si>
    <t>92/5</t>
  </si>
  <si>
    <r>
      <t>3T=39</t>
    </r>
    <r>
      <rPr>
        <vertAlign val="superscript"/>
        <sz val="10"/>
        <rFont val="Aptos Display"/>
        <family val="2"/>
        <scheme val="major"/>
      </rPr>
      <t>0</t>
    </r>
    <r>
      <rPr>
        <sz val="10"/>
        <rFont val="Aptos Display"/>
        <family val="2"/>
        <scheme val="major"/>
      </rPr>
      <t>28'</t>
    </r>
  </si>
  <si>
    <t>109.084758511472</t>
  </si>
  <si>
    <t>12.0327707365748</t>
  </si>
  <si>
    <t>92/4</t>
  </si>
  <si>
    <t xml:space="preserve"> </t>
  </si>
  <si>
    <t>109.081504742157</t>
  </si>
  <si>
    <t>12.0309059134</t>
  </si>
  <si>
    <t>92/3</t>
  </si>
  <si>
    <r>
      <t>2P=30</t>
    </r>
    <r>
      <rPr>
        <vertAlign val="superscript"/>
        <sz val="10"/>
        <rFont val="Aptos Display"/>
        <family val="2"/>
        <scheme val="major"/>
      </rPr>
      <t>0</t>
    </r>
    <r>
      <rPr>
        <sz val="10"/>
        <rFont val="Aptos Display"/>
        <family val="2"/>
        <scheme val="major"/>
      </rPr>
      <t>39'</t>
    </r>
  </si>
  <si>
    <t>109.078885757459</t>
  </si>
  <si>
    <t>12.029404788884</t>
  </si>
  <si>
    <t>92/2</t>
  </si>
  <si>
    <r>
      <t>1T=144</t>
    </r>
    <r>
      <rPr>
        <vertAlign val="superscript"/>
        <sz val="10"/>
        <rFont val="Aptos Display"/>
        <family val="2"/>
        <scheme val="major"/>
      </rPr>
      <t>0</t>
    </r>
    <r>
      <rPr>
        <sz val="10"/>
        <rFont val="Aptos Display"/>
        <family val="2"/>
        <scheme val="major"/>
      </rPr>
      <t>04'</t>
    </r>
  </si>
  <si>
    <t>109.075694604728</t>
  </si>
  <si>
    <t>12.0275757211386</t>
  </si>
  <si>
    <t>92/1</t>
  </si>
  <si>
    <r>
      <t>P=64</t>
    </r>
    <r>
      <rPr>
        <vertAlign val="superscript"/>
        <sz val="10"/>
        <rFont val="Aptos Display"/>
        <family val="2"/>
        <scheme val="major"/>
      </rPr>
      <t>0</t>
    </r>
    <r>
      <rPr>
        <sz val="10"/>
        <rFont val="Aptos Display"/>
        <family val="2"/>
        <scheme val="major"/>
      </rPr>
      <t>28'</t>
    </r>
  </si>
  <si>
    <t>109.073869322801</t>
  </si>
  <si>
    <t>12.0265294939653</t>
  </si>
  <si>
    <r>
      <t>15P=30</t>
    </r>
    <r>
      <rPr>
        <vertAlign val="superscript"/>
        <sz val="10"/>
        <rFont val="Aptos Narrow"/>
        <family val="2"/>
        <scheme val="minor"/>
      </rPr>
      <t>0</t>
    </r>
    <r>
      <rPr>
        <sz val="10"/>
        <rFont val="Aptos Narrow"/>
        <family val="2"/>
        <scheme val="minor"/>
      </rPr>
      <t>51'</t>
    </r>
  </si>
  <si>
    <t>BAC</t>
  </si>
  <si>
    <t>109.073207</t>
  </si>
  <si>
    <t>12.02646</t>
  </si>
  <si>
    <t>109.07214</t>
  </si>
  <si>
    <t>12.024078</t>
  </si>
  <si>
    <t>109.070731</t>
  </si>
  <si>
    <t>12.016008</t>
  </si>
  <si>
    <t>109.068524</t>
  </si>
  <si>
    <t>12.01322</t>
  </si>
  <si>
    <t>109.067275</t>
  </si>
  <si>
    <t>109.065274</t>
  </si>
  <si>
    <t>12.008753</t>
  </si>
  <si>
    <t>109.062517</t>
  </si>
  <si>
    <t>12.0026000</t>
  </si>
  <si>
    <t>109.059413</t>
  </si>
  <si>
    <t>11.995669</t>
  </si>
  <si>
    <t>109.056241</t>
  </si>
  <si>
    <t>11.988588</t>
  </si>
  <si>
    <r>
      <t>16T=16</t>
    </r>
    <r>
      <rPr>
        <vertAlign val="superscript"/>
        <sz val="10"/>
        <rFont val="Aptos Narrow"/>
        <family val="2"/>
        <scheme val="minor"/>
      </rPr>
      <t>0</t>
    </r>
    <r>
      <rPr>
        <sz val="10"/>
        <rFont val="Aptos Narrow"/>
        <family val="2"/>
        <scheme val="minor"/>
      </rPr>
      <t>55'</t>
    </r>
  </si>
  <si>
    <t>109.055548</t>
  </si>
  <si>
    <t>11.987042</t>
  </si>
  <si>
    <t>109.054996</t>
  </si>
  <si>
    <t>11.982524</t>
  </si>
  <si>
    <t>109.054654</t>
  </si>
  <si>
    <t>11.979736</t>
  </si>
  <si>
    <t>109.054076</t>
  </si>
  <si>
    <t>11.975015</t>
  </si>
  <si>
    <t>Đỡ thẳng, néo CS</t>
  </si>
  <si>
    <t>109.053303</t>
  </si>
  <si>
    <t>11.968697</t>
  </si>
  <si>
    <t>109.052543</t>
  </si>
  <si>
    <t>11.962488</t>
  </si>
  <si>
    <t>109.051844</t>
  </si>
  <si>
    <t>11.956769</t>
  </si>
  <si>
    <t>109.050985</t>
  </si>
  <si>
    <t>11.949751</t>
  </si>
  <si>
    <t>109.050247</t>
  </si>
  <si>
    <t>11.943729</t>
  </si>
  <si>
    <t>109.049615</t>
  </si>
  <si>
    <t>11.938559</t>
  </si>
  <si>
    <t>109.048864</t>
  </si>
  <si>
    <t>11.93242</t>
  </si>
  <si>
    <t>109.048286</t>
  </si>
  <si>
    <t>11.927699</t>
  </si>
  <si>
    <r>
      <t>17P=13</t>
    </r>
    <r>
      <rPr>
        <vertAlign val="superscript"/>
        <sz val="10"/>
        <rFont val="Aptos Narrow"/>
        <family val="2"/>
        <scheme val="minor"/>
      </rPr>
      <t>0</t>
    </r>
    <r>
      <rPr>
        <sz val="10"/>
        <rFont val="Aptos Narrow"/>
        <family val="2"/>
        <scheme val="minor"/>
      </rPr>
      <t>11'</t>
    </r>
  </si>
  <si>
    <t>109.047981</t>
  </si>
  <si>
    <t>11.925205</t>
  </si>
  <si>
    <t>109.046763</t>
  </si>
  <si>
    <t>11.921918</t>
  </si>
  <si>
    <t>109.045624</t>
  </si>
  <si>
    <t>11.918844</t>
  </si>
  <si>
    <t>109.044287</t>
  </si>
  <si>
    <t>11.915235</t>
  </si>
  <si>
    <t>109.043034</t>
  </si>
  <si>
    <t>11.911855</t>
  </si>
  <si>
    <t>109.041377</t>
  </si>
  <si>
    <t>11.907382</t>
  </si>
  <si>
    <t>109.040532</t>
  </si>
  <si>
    <t>11.905103</t>
  </si>
  <si>
    <r>
      <t>18T=32</t>
    </r>
    <r>
      <rPr>
        <vertAlign val="superscript"/>
        <sz val="10"/>
        <rFont val="Aptos Narrow"/>
        <family val="2"/>
        <scheme val="minor"/>
      </rPr>
      <t>0</t>
    </r>
    <r>
      <rPr>
        <sz val="10"/>
        <rFont val="Aptos Narrow"/>
        <family val="2"/>
        <scheme val="minor"/>
      </rPr>
      <t>08'</t>
    </r>
  </si>
  <si>
    <t>109.039367</t>
  </si>
  <si>
    <t>11.901958</t>
  </si>
  <si>
    <t>109.0397668</t>
  </si>
  <si>
    <t>11.89926</t>
  </si>
  <si>
    <t>109.0402565</t>
  </si>
  <si>
    <t>11.8962769</t>
  </si>
  <si>
    <t>109.0410731</t>
  </si>
  <si>
    <t>11.8935302</t>
  </si>
  <si>
    <t>109.04199</t>
  </si>
  <si>
    <t>11.8888619</t>
  </si>
  <si>
    <t>109.0424301</t>
  </si>
  <si>
    <t>11.8869763</t>
  </si>
  <si>
    <t>109.0433253</t>
  </si>
  <si>
    <t>11.8827744</t>
  </si>
  <si>
    <t>109.0441142</t>
  </si>
  <si>
    <t>11.8793297</t>
  </si>
  <si>
    <t>109.0452283</t>
  </si>
  <si>
    <t>11.8738388</t>
  </si>
  <si>
    <t>109.0463001</t>
  </si>
  <si>
    <t>11.8695436</t>
  </si>
  <si>
    <t>109.0469125</t>
  </si>
  <si>
    <t>11.8653483</t>
  </si>
  <si>
    <t>11.8603038</t>
  </si>
  <si>
    <t>109.0480863</t>
  </si>
  <si>
    <t>11.8548097</t>
  </si>
  <si>
    <t>109.0496684</t>
  </si>
  <si>
    <t>11.8500148</t>
  </si>
  <si>
    <t>109.0503318</t>
  </si>
  <si>
    <t>G.19P=57º44'</t>
  </si>
  <si>
    <t>11.8425226</t>
  </si>
  <si>
    <t>109.0522201</t>
  </si>
  <si>
    <t>11.8392259</t>
  </si>
  <si>
    <t>109.0489029</t>
  </si>
  <si>
    <t>11.8361813</t>
  </si>
  <si>
    <t>109.0452873</t>
  </si>
  <si>
    <t>G.20T=54º37'</t>
  </si>
  <si>
    <t>11.8346828</t>
  </si>
  <si>
    <t>109.0438583</t>
  </si>
  <si>
    <t>11.8317937</t>
  </si>
  <si>
    <t>109.0442707</t>
  </si>
  <si>
    <t>138A/01</t>
  </si>
  <si>
    <t>Néo</t>
  </si>
  <si>
    <t>11.82766</t>
  </si>
  <si>
    <t>109.04495</t>
  </si>
  <si>
    <t>138A/02</t>
  </si>
  <si>
    <t>11.8262989</t>
  </si>
  <si>
    <t>109.0451811</t>
  </si>
  <si>
    <t>138A/03</t>
  </si>
  <si>
    <t>138A/04</t>
  </si>
  <si>
    <t>11.8167645</t>
  </si>
  <si>
    <t>109.0467287</t>
  </si>
  <si>
    <t>138A/05</t>
  </si>
  <si>
    <t>Điểm cuối</t>
  </si>
  <si>
    <t>11.8146853</t>
  </si>
  <si>
    <t>109.0471232</t>
  </si>
  <si>
    <t>T220TT1.4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</si>
</sst>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163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1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vertAlign val="superscript"/>
      <sz val="10"/>
      <name val="Aptos Display"/>
      <family val="2"/>
      <scheme val="major"/>
    </font>
    <font>
      <sz val="10"/>
      <name val="Aptos Narrow"/>
      <family val="2"/>
      <scheme val="minor"/>
    </font>
    <font>
      <vertAlign val="superscript"/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49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/>
    </xf>
    <xf numFmtId="3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49" fontId="7" fillId="2" borderId="1" xfId="0" applyNumberFormat="1" applyFont="1" applyFill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49" fontId="7" fillId="2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5D92-97AF-4EF3-9957-B7F27F564CE7}">
  <dimension ref="A1:H79"/>
  <sheetViews>
    <sheetView tabSelected="1" zoomScaleNormal="100" workbookViewId="0">
      <selection activeCell="D2" sqref="D2"/>
    </sheetView>
  </sheetViews>
  <sheetFormatPr defaultColWidth="8.6640625" defaultRowHeight="13.8" x14ac:dyDescent="0.3"/>
  <cols>
    <col min="1" max="1" width="17" style="20" customWidth="1"/>
    <col min="2" max="2" width="23.44140625" style="20" customWidth="1"/>
    <col min="3" max="3" width="13.44140625" style="20" bestFit="1" customWidth="1"/>
    <col min="4" max="4" width="17" style="20" customWidth="1"/>
    <col min="5" max="5" width="17" style="3" customWidth="1"/>
    <col min="6" max="6" width="17" style="20" customWidth="1"/>
    <col min="7" max="8" width="16.5546875" style="21" bestFit="1" customWidth="1"/>
    <col min="9" max="16384" width="8.664062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s="6" customFormat="1" x14ac:dyDescent="0.3">
      <c r="A2" s="4" t="s">
        <v>8</v>
      </c>
      <c r="B2" s="5"/>
      <c r="C2" s="4"/>
      <c r="D2" s="22">
        <v>0</v>
      </c>
      <c r="E2" s="4"/>
      <c r="F2" s="4"/>
      <c r="G2" s="7"/>
      <c r="H2" s="7"/>
    </row>
    <row r="3" spans="1:8" s="6" customFormat="1" x14ac:dyDescent="0.3">
      <c r="A3" s="4" t="s">
        <v>9</v>
      </c>
      <c r="B3" s="5" t="str">
        <f t="shared" ref="B3:B27" si="0">CONCATENATE(A2,"-",A3)</f>
        <v>T220CR-92/24</v>
      </c>
      <c r="C3" s="8" t="s">
        <v>10</v>
      </c>
      <c r="D3" s="8">
        <v>50</v>
      </c>
      <c r="E3" s="8"/>
      <c r="F3" s="4" t="s">
        <v>11</v>
      </c>
      <c r="G3" s="9" t="s">
        <v>12</v>
      </c>
      <c r="H3" s="9" t="s">
        <v>13</v>
      </c>
    </row>
    <row r="4" spans="1:8" s="6" customFormat="1" x14ac:dyDescent="0.3">
      <c r="A4" s="4" t="s">
        <v>14</v>
      </c>
      <c r="B4" s="5" t="str">
        <f t="shared" si="0"/>
        <v>92/24-92/23</v>
      </c>
      <c r="C4" s="8" t="s">
        <v>10</v>
      </c>
      <c r="D4" s="8">
        <v>150.9</v>
      </c>
      <c r="E4" s="8"/>
      <c r="F4" s="4" t="s">
        <v>11</v>
      </c>
      <c r="G4" s="9" t="s">
        <v>15</v>
      </c>
      <c r="H4" s="9" t="s">
        <v>16</v>
      </c>
    </row>
    <row r="5" spans="1:8" s="6" customFormat="1" x14ac:dyDescent="0.3">
      <c r="A5" s="4" t="s">
        <v>17</v>
      </c>
      <c r="B5" s="5" t="str">
        <f t="shared" si="0"/>
        <v>92/23-92/22</v>
      </c>
      <c r="C5" s="8" t="s">
        <v>18</v>
      </c>
      <c r="D5" s="8">
        <v>498</v>
      </c>
      <c r="E5" s="8"/>
      <c r="F5" s="4" t="s">
        <v>11</v>
      </c>
      <c r="G5" s="9" t="s">
        <v>19</v>
      </c>
      <c r="H5" s="9" t="s">
        <v>20</v>
      </c>
    </row>
    <row r="6" spans="1:8" s="6" customFormat="1" ht="15" x14ac:dyDescent="0.3">
      <c r="A6" s="4" t="s">
        <v>21</v>
      </c>
      <c r="B6" s="5" t="str">
        <f t="shared" si="0"/>
        <v>92/22-92/21</v>
      </c>
      <c r="C6" s="8" t="s">
        <v>18</v>
      </c>
      <c r="D6" s="8">
        <v>433</v>
      </c>
      <c r="E6" s="8" t="s">
        <v>22</v>
      </c>
      <c r="F6" s="4" t="s">
        <v>11</v>
      </c>
      <c r="G6" s="9" t="s">
        <v>23</v>
      </c>
      <c r="H6" s="9" t="s">
        <v>24</v>
      </c>
    </row>
    <row r="7" spans="1:8" s="6" customFormat="1" x14ac:dyDescent="0.3">
      <c r="A7" s="4" t="s">
        <v>25</v>
      </c>
      <c r="B7" s="5" t="str">
        <f t="shared" si="0"/>
        <v>92/21-92/20</v>
      </c>
      <c r="C7" s="8" t="s">
        <v>18</v>
      </c>
      <c r="D7" s="8">
        <v>300</v>
      </c>
      <c r="E7" s="8"/>
      <c r="F7" s="4" t="s">
        <v>11</v>
      </c>
      <c r="G7" s="9" t="s">
        <v>26</v>
      </c>
      <c r="H7" s="9" t="s">
        <v>27</v>
      </c>
    </row>
    <row r="8" spans="1:8" s="6" customFormat="1" x14ac:dyDescent="0.3">
      <c r="A8" s="4" t="s">
        <v>28</v>
      </c>
      <c r="B8" s="5" t="str">
        <f t="shared" si="0"/>
        <v>92/20-92/19</v>
      </c>
      <c r="C8" s="8" t="s">
        <v>18</v>
      </c>
      <c r="D8" s="8">
        <v>332</v>
      </c>
      <c r="E8" s="8"/>
      <c r="F8" s="4" t="s">
        <v>11</v>
      </c>
      <c r="G8" s="9" t="s">
        <v>29</v>
      </c>
      <c r="H8" s="9" t="s">
        <v>30</v>
      </c>
    </row>
    <row r="9" spans="1:8" s="6" customFormat="1" x14ac:dyDescent="0.3">
      <c r="A9" s="4" t="s">
        <v>31</v>
      </c>
      <c r="B9" s="5" t="str">
        <f t="shared" si="0"/>
        <v>92/19-92/18</v>
      </c>
      <c r="C9" s="8" t="s">
        <v>18</v>
      </c>
      <c r="D9" s="8">
        <v>297</v>
      </c>
      <c r="E9" s="8"/>
      <c r="F9" s="4" t="s">
        <v>11</v>
      </c>
      <c r="G9" s="9" t="s">
        <v>32</v>
      </c>
      <c r="H9" s="9" t="s">
        <v>33</v>
      </c>
    </row>
    <row r="10" spans="1:8" s="6" customFormat="1" x14ac:dyDescent="0.3">
      <c r="A10" s="4" t="s">
        <v>34</v>
      </c>
      <c r="B10" s="5" t="str">
        <f t="shared" si="0"/>
        <v>92/18-92/17</v>
      </c>
      <c r="C10" s="8" t="s">
        <v>18</v>
      </c>
      <c r="D10" s="8">
        <v>323</v>
      </c>
      <c r="E10" s="8"/>
      <c r="F10" s="4" t="s">
        <v>11</v>
      </c>
      <c r="G10" s="9" t="s">
        <v>35</v>
      </c>
      <c r="H10" s="9" t="s">
        <v>36</v>
      </c>
    </row>
    <row r="11" spans="1:8" s="6" customFormat="1" x14ac:dyDescent="0.3">
      <c r="A11" s="4" t="s">
        <v>37</v>
      </c>
      <c r="B11" s="5" t="str">
        <f t="shared" si="0"/>
        <v>92/17-92/16</v>
      </c>
      <c r="C11" s="8" t="s">
        <v>38</v>
      </c>
      <c r="D11" s="8">
        <v>380</v>
      </c>
      <c r="E11" s="8"/>
      <c r="F11" s="4" t="s">
        <v>11</v>
      </c>
      <c r="G11" s="9" t="s">
        <v>39</v>
      </c>
      <c r="H11" s="9" t="s">
        <v>40</v>
      </c>
    </row>
    <row r="12" spans="1:8" s="6" customFormat="1" x14ac:dyDescent="0.3">
      <c r="A12" s="4" t="s">
        <v>41</v>
      </c>
      <c r="B12" s="5" t="str">
        <f t="shared" si="0"/>
        <v>92/16-92/15</v>
      </c>
      <c r="C12" s="8" t="s">
        <v>10</v>
      </c>
      <c r="D12" s="8">
        <v>280.3</v>
      </c>
      <c r="E12" s="8"/>
      <c r="F12" s="4" t="s">
        <v>11</v>
      </c>
      <c r="G12" s="9" t="s">
        <v>42</v>
      </c>
      <c r="H12" s="9" t="s">
        <v>43</v>
      </c>
    </row>
    <row r="13" spans="1:8" s="6" customFormat="1" x14ac:dyDescent="0.3">
      <c r="A13" s="4" t="s">
        <v>44</v>
      </c>
      <c r="B13" s="5" t="str">
        <f t="shared" si="0"/>
        <v>92/15-92/14</v>
      </c>
      <c r="C13" s="8" t="s">
        <v>38</v>
      </c>
      <c r="D13" s="8">
        <v>366.8</v>
      </c>
      <c r="E13" s="8"/>
      <c r="F13" s="4" t="s">
        <v>11</v>
      </c>
      <c r="G13" s="9" t="s">
        <v>45</v>
      </c>
      <c r="H13" s="9" t="s">
        <v>46</v>
      </c>
    </row>
    <row r="14" spans="1:8" s="6" customFormat="1" x14ac:dyDescent="0.3">
      <c r="A14" s="4" t="s">
        <v>47</v>
      </c>
      <c r="B14" s="5" t="str">
        <f t="shared" si="0"/>
        <v>92/14-92/13</v>
      </c>
      <c r="C14" s="8" t="s">
        <v>38</v>
      </c>
      <c r="D14" s="8">
        <v>378</v>
      </c>
      <c r="E14" s="8"/>
      <c r="F14" s="4" t="s">
        <v>11</v>
      </c>
      <c r="G14" s="9" t="s">
        <v>48</v>
      </c>
      <c r="H14" s="9" t="s">
        <v>49</v>
      </c>
    </row>
    <row r="15" spans="1:8" s="6" customFormat="1" x14ac:dyDescent="0.3">
      <c r="A15" s="4" t="s">
        <v>50</v>
      </c>
      <c r="B15" s="5" t="str">
        <f t="shared" si="0"/>
        <v>92/13-92/12</v>
      </c>
      <c r="C15" s="8" t="s">
        <v>18</v>
      </c>
      <c r="D15" s="8">
        <v>490</v>
      </c>
      <c r="E15" s="8"/>
      <c r="F15" s="4" t="s">
        <v>11</v>
      </c>
      <c r="G15" s="9" t="s">
        <v>51</v>
      </c>
      <c r="H15" s="9" t="s">
        <v>52</v>
      </c>
    </row>
    <row r="16" spans="1:8" s="6" customFormat="1" x14ac:dyDescent="0.3">
      <c r="A16" s="4" t="s">
        <v>53</v>
      </c>
      <c r="B16" s="5" t="str">
        <f t="shared" si="0"/>
        <v>92/12-92/11</v>
      </c>
      <c r="C16" s="8" t="s">
        <v>10</v>
      </c>
      <c r="D16" s="8">
        <v>420</v>
      </c>
      <c r="E16" s="8"/>
      <c r="F16" s="4" t="s">
        <v>11</v>
      </c>
      <c r="G16" s="9" t="s">
        <v>54</v>
      </c>
      <c r="H16" s="9" t="s">
        <v>55</v>
      </c>
    </row>
    <row r="17" spans="1:8" s="6" customFormat="1" x14ac:dyDescent="0.3">
      <c r="A17" s="4" t="s">
        <v>56</v>
      </c>
      <c r="B17" s="5" t="str">
        <f t="shared" si="0"/>
        <v>92/11-92/10</v>
      </c>
      <c r="C17" s="8" t="s">
        <v>18</v>
      </c>
      <c r="D17" s="8">
        <v>342.7</v>
      </c>
      <c r="E17" s="8"/>
      <c r="F17" s="4" t="s">
        <v>11</v>
      </c>
      <c r="G17" s="9" t="s">
        <v>57</v>
      </c>
      <c r="H17" s="9" t="s">
        <v>58</v>
      </c>
    </row>
    <row r="18" spans="1:8" s="6" customFormat="1" x14ac:dyDescent="0.3">
      <c r="A18" s="4" t="s">
        <v>59</v>
      </c>
      <c r="B18" s="5" t="str">
        <f t="shared" si="0"/>
        <v>92/10-92/9</v>
      </c>
      <c r="C18" s="8" t="s">
        <v>18</v>
      </c>
      <c r="D18" s="8">
        <v>604.9</v>
      </c>
      <c r="E18" s="8"/>
      <c r="F18" s="4" t="s">
        <v>11</v>
      </c>
      <c r="G18" s="9" t="s">
        <v>60</v>
      </c>
      <c r="H18" s="9" t="s">
        <v>61</v>
      </c>
    </row>
    <row r="19" spans="1:8" s="6" customFormat="1" x14ac:dyDescent="0.3">
      <c r="A19" s="4" t="s">
        <v>62</v>
      </c>
      <c r="B19" s="5" t="str">
        <f t="shared" si="0"/>
        <v>92/9-92/8</v>
      </c>
      <c r="C19" s="8" t="s">
        <v>18</v>
      </c>
      <c r="D19" s="8">
        <v>671.1</v>
      </c>
      <c r="E19" s="8"/>
      <c r="F19" s="4" t="s">
        <v>11</v>
      </c>
      <c r="G19" s="9" t="s">
        <v>63</v>
      </c>
      <c r="H19" s="9" t="s">
        <v>64</v>
      </c>
    </row>
    <row r="20" spans="1:8" s="6" customFormat="1" ht="15" x14ac:dyDescent="0.3">
      <c r="A20" s="4" t="s">
        <v>65</v>
      </c>
      <c r="B20" s="5" t="str">
        <f t="shared" si="0"/>
        <v>92/8-92/7</v>
      </c>
      <c r="C20" s="8" t="s">
        <v>10</v>
      </c>
      <c r="D20" s="8">
        <v>507.4</v>
      </c>
      <c r="E20" s="8" t="s">
        <v>66</v>
      </c>
      <c r="F20" s="4" t="s">
        <v>11</v>
      </c>
      <c r="G20" s="9" t="s">
        <v>67</v>
      </c>
      <c r="H20" s="9" t="s">
        <v>68</v>
      </c>
    </row>
    <row r="21" spans="1:8" s="6" customFormat="1" x14ac:dyDescent="0.3">
      <c r="A21" s="4" t="s">
        <v>69</v>
      </c>
      <c r="B21" s="5" t="str">
        <f t="shared" si="0"/>
        <v>92/7-92/6</v>
      </c>
      <c r="C21" s="8" t="s">
        <v>18</v>
      </c>
      <c r="D21" s="8">
        <v>652.5</v>
      </c>
      <c r="E21" s="8"/>
      <c r="F21" s="4" t="s">
        <v>11</v>
      </c>
      <c r="G21" s="9" t="s">
        <v>70</v>
      </c>
      <c r="H21" s="9" t="s">
        <v>71</v>
      </c>
    </row>
    <row r="22" spans="1:8" s="6" customFormat="1" ht="15" x14ac:dyDescent="0.3">
      <c r="A22" s="4" t="s">
        <v>72</v>
      </c>
      <c r="B22" s="5" t="str">
        <f t="shared" si="0"/>
        <v>92/6-92/5</v>
      </c>
      <c r="C22" s="8" t="s">
        <v>18</v>
      </c>
      <c r="D22" s="8">
        <v>430</v>
      </c>
      <c r="E22" s="8" t="s">
        <v>73</v>
      </c>
      <c r="F22" s="4" t="s">
        <v>11</v>
      </c>
      <c r="G22" s="9" t="s">
        <v>74</v>
      </c>
      <c r="H22" s="9" t="s">
        <v>75</v>
      </c>
    </row>
    <row r="23" spans="1:8" s="6" customFormat="1" x14ac:dyDescent="0.3">
      <c r="A23" s="4" t="s">
        <v>76</v>
      </c>
      <c r="B23" s="5" t="str">
        <f t="shared" si="0"/>
        <v>92/5-92/4</v>
      </c>
      <c r="C23" s="8" t="s">
        <v>18</v>
      </c>
      <c r="D23" s="8">
        <v>410</v>
      </c>
      <c r="E23" s="8" t="s">
        <v>77</v>
      </c>
      <c r="F23" s="4" t="s">
        <v>11</v>
      </c>
      <c r="G23" s="9" t="s">
        <v>78</v>
      </c>
      <c r="H23" s="9" t="s">
        <v>79</v>
      </c>
    </row>
    <row r="24" spans="1:8" s="6" customFormat="1" ht="15" x14ac:dyDescent="0.3">
      <c r="A24" s="4" t="s">
        <v>80</v>
      </c>
      <c r="B24" s="5" t="str">
        <f t="shared" si="0"/>
        <v>92/4-92/3</v>
      </c>
      <c r="C24" s="8" t="s">
        <v>38</v>
      </c>
      <c r="D24" s="8">
        <v>330</v>
      </c>
      <c r="E24" s="8" t="s">
        <v>81</v>
      </c>
      <c r="F24" s="4" t="s">
        <v>11</v>
      </c>
      <c r="G24" s="9" t="s">
        <v>82</v>
      </c>
      <c r="H24" s="9" t="s">
        <v>83</v>
      </c>
    </row>
    <row r="25" spans="1:8" s="6" customFormat="1" ht="15" x14ac:dyDescent="0.3">
      <c r="A25" s="4" t="s">
        <v>84</v>
      </c>
      <c r="B25" s="5" t="str">
        <f t="shared" si="0"/>
        <v>92/3-92/2</v>
      </c>
      <c r="C25" s="8" t="s">
        <v>38</v>
      </c>
      <c r="D25" s="10">
        <v>402.1</v>
      </c>
      <c r="E25" s="8" t="s">
        <v>85</v>
      </c>
      <c r="F25" s="4" t="s">
        <v>11</v>
      </c>
      <c r="G25" s="9" t="s">
        <v>86</v>
      </c>
      <c r="H25" s="9" t="s">
        <v>87</v>
      </c>
    </row>
    <row r="26" spans="1:8" s="6" customFormat="1" ht="15" x14ac:dyDescent="0.3">
      <c r="A26" s="4" t="s">
        <v>88</v>
      </c>
      <c r="B26" s="5" t="str">
        <f t="shared" si="0"/>
        <v>92/2-92/1</v>
      </c>
      <c r="C26" s="8" t="s">
        <v>10</v>
      </c>
      <c r="D26" s="10">
        <v>230</v>
      </c>
      <c r="E26" s="8" t="s">
        <v>89</v>
      </c>
      <c r="F26" s="4" t="s">
        <v>11</v>
      </c>
      <c r="G26" s="9" t="s">
        <v>90</v>
      </c>
      <c r="H26" s="9" t="s">
        <v>91</v>
      </c>
    </row>
    <row r="27" spans="1:8" ht="15" x14ac:dyDescent="0.3">
      <c r="A27" s="11">
        <v>92</v>
      </c>
      <c r="B27" s="5" t="str">
        <f t="shared" si="0"/>
        <v>92/1-92</v>
      </c>
      <c r="C27" s="11" t="s">
        <v>10</v>
      </c>
      <c r="D27" s="10">
        <v>94.1</v>
      </c>
      <c r="E27" s="12" t="s">
        <v>92</v>
      </c>
      <c r="F27" s="11" t="s">
        <v>93</v>
      </c>
      <c r="G27" s="13" t="s">
        <v>94</v>
      </c>
      <c r="H27" s="13" t="s">
        <v>95</v>
      </c>
    </row>
    <row r="28" spans="1:8" x14ac:dyDescent="0.3">
      <c r="A28" s="11">
        <v>93</v>
      </c>
      <c r="B28" s="11" t="str">
        <f t="shared" ref="B28:B79" si="1">CONCATENATE(A27,"-",A28)</f>
        <v>92-93</v>
      </c>
      <c r="C28" s="11" t="s">
        <v>18</v>
      </c>
      <c r="D28" s="11">
        <v>288</v>
      </c>
      <c r="E28" s="12"/>
      <c r="F28" s="11" t="s">
        <v>93</v>
      </c>
      <c r="G28" s="13" t="s">
        <v>96</v>
      </c>
      <c r="H28" s="13" t="s">
        <v>97</v>
      </c>
    </row>
    <row r="29" spans="1:8" x14ac:dyDescent="0.3">
      <c r="A29" s="11">
        <v>94</v>
      </c>
      <c r="B29" s="11" t="str">
        <f>CONCATENATE(A28,"-",A29)</f>
        <v>93-94</v>
      </c>
      <c r="C29" s="11" t="s">
        <v>18</v>
      </c>
      <c r="D29" s="11">
        <v>380</v>
      </c>
      <c r="E29" s="12"/>
      <c r="F29" s="11" t="s">
        <v>93</v>
      </c>
      <c r="G29" s="13" t="s">
        <v>98</v>
      </c>
      <c r="H29" s="13" t="s">
        <v>99</v>
      </c>
    </row>
    <row r="30" spans="1:8" x14ac:dyDescent="0.3">
      <c r="A30" s="11">
        <v>95</v>
      </c>
      <c r="B30" s="11" t="str">
        <f t="shared" si="1"/>
        <v>94-95</v>
      </c>
      <c r="C30" s="11" t="s">
        <v>18</v>
      </c>
      <c r="D30" s="11">
        <v>481</v>
      </c>
      <c r="E30" s="12"/>
      <c r="F30" s="11" t="s">
        <v>93</v>
      </c>
      <c r="G30" s="13" t="s">
        <v>100</v>
      </c>
      <c r="H30" s="13" t="s">
        <v>101</v>
      </c>
    </row>
    <row r="31" spans="1:8" x14ac:dyDescent="0.3">
      <c r="A31" s="11">
        <v>96</v>
      </c>
      <c r="B31" s="11" t="str">
        <f t="shared" si="1"/>
        <v>95-96</v>
      </c>
      <c r="C31" s="11" t="s">
        <v>18</v>
      </c>
      <c r="D31" s="11">
        <v>452</v>
      </c>
      <c r="E31" s="12"/>
      <c r="F31" s="11" t="s">
        <v>93</v>
      </c>
      <c r="G31" s="13" t="s">
        <v>102</v>
      </c>
      <c r="H31" s="13" t="s">
        <v>101</v>
      </c>
    </row>
    <row r="32" spans="1:8" x14ac:dyDescent="0.3">
      <c r="A32" s="11">
        <v>97</v>
      </c>
      <c r="B32" s="11" t="str">
        <f t="shared" si="1"/>
        <v>96-97</v>
      </c>
      <c r="C32" s="11" t="s">
        <v>18</v>
      </c>
      <c r="D32" s="11">
        <v>540</v>
      </c>
      <c r="E32" s="12"/>
      <c r="F32" s="11" t="s">
        <v>93</v>
      </c>
      <c r="G32" s="13" t="s">
        <v>103</v>
      </c>
      <c r="H32" s="13" t="s">
        <v>104</v>
      </c>
    </row>
    <row r="33" spans="1:8" x14ac:dyDescent="0.3">
      <c r="A33" s="11">
        <v>98</v>
      </c>
      <c r="B33" s="11" t="str">
        <f t="shared" si="1"/>
        <v>97-98</v>
      </c>
      <c r="C33" s="11" t="s">
        <v>18</v>
      </c>
      <c r="D33" s="11">
        <v>744</v>
      </c>
      <c r="E33" s="12"/>
      <c r="F33" s="11" t="s">
        <v>93</v>
      </c>
      <c r="G33" s="13" t="s">
        <v>105</v>
      </c>
      <c r="H33" s="13" t="s">
        <v>106</v>
      </c>
    </row>
    <row r="34" spans="1:8" x14ac:dyDescent="0.3">
      <c r="A34" s="11">
        <v>99</v>
      </c>
      <c r="B34" s="11" t="str">
        <f t="shared" si="1"/>
        <v>98-99</v>
      </c>
      <c r="C34" s="11" t="s">
        <v>18</v>
      </c>
      <c r="D34" s="11">
        <v>838</v>
      </c>
      <c r="E34" s="12"/>
      <c r="F34" s="11" t="s">
        <v>93</v>
      </c>
      <c r="G34" s="13" t="s">
        <v>107</v>
      </c>
      <c r="H34" s="13" t="s">
        <v>108</v>
      </c>
    </row>
    <row r="35" spans="1:8" x14ac:dyDescent="0.3">
      <c r="A35" s="11">
        <v>100</v>
      </c>
      <c r="B35" s="11" t="str">
        <f t="shared" si="1"/>
        <v>99-100</v>
      </c>
      <c r="C35" s="11" t="s">
        <v>18</v>
      </c>
      <c r="D35" s="11">
        <v>856</v>
      </c>
      <c r="E35" s="12"/>
      <c r="F35" s="11" t="s">
        <v>93</v>
      </c>
      <c r="G35" s="13" t="s">
        <v>109</v>
      </c>
      <c r="H35" s="13" t="s">
        <v>110</v>
      </c>
    </row>
    <row r="36" spans="1:8" ht="15" x14ac:dyDescent="0.3">
      <c r="A36" s="11">
        <v>101</v>
      </c>
      <c r="B36" s="11" t="str">
        <f t="shared" si="1"/>
        <v>100-101</v>
      </c>
      <c r="C36" s="11" t="s">
        <v>10</v>
      </c>
      <c r="D36" s="11">
        <v>187</v>
      </c>
      <c r="E36" s="12" t="s">
        <v>111</v>
      </c>
      <c r="F36" s="11" t="s">
        <v>93</v>
      </c>
      <c r="G36" s="13" t="s">
        <v>112</v>
      </c>
      <c r="H36" s="13" t="s">
        <v>113</v>
      </c>
    </row>
    <row r="37" spans="1:8" x14ac:dyDescent="0.3">
      <c r="A37" s="11">
        <v>102</v>
      </c>
      <c r="B37" s="11" t="str">
        <f t="shared" si="1"/>
        <v>101-102</v>
      </c>
      <c r="C37" s="11" t="s">
        <v>18</v>
      </c>
      <c r="D37" s="11">
        <v>503</v>
      </c>
      <c r="E37" s="12"/>
      <c r="F37" s="11" t="s">
        <v>93</v>
      </c>
      <c r="G37" s="13" t="s">
        <v>114</v>
      </c>
      <c r="H37" s="13" t="s">
        <v>115</v>
      </c>
    </row>
    <row r="38" spans="1:8" x14ac:dyDescent="0.3">
      <c r="A38" s="11">
        <v>103</v>
      </c>
      <c r="B38" s="11" t="str">
        <f t="shared" si="1"/>
        <v>102-103</v>
      </c>
      <c r="C38" s="11" t="s">
        <v>18</v>
      </c>
      <c r="D38" s="11">
        <v>311</v>
      </c>
      <c r="E38" s="12"/>
      <c r="F38" s="11" t="s">
        <v>93</v>
      </c>
      <c r="G38" s="13" t="s">
        <v>116</v>
      </c>
      <c r="H38" s="13" t="s">
        <v>117</v>
      </c>
    </row>
    <row r="39" spans="1:8" x14ac:dyDescent="0.3">
      <c r="A39" s="11">
        <v>104</v>
      </c>
      <c r="B39" s="11" t="str">
        <f t="shared" si="1"/>
        <v>103-104</v>
      </c>
      <c r="C39" s="11" t="s">
        <v>18</v>
      </c>
      <c r="D39" s="11">
        <v>526</v>
      </c>
      <c r="E39" s="12"/>
      <c r="F39" s="11" t="s">
        <v>93</v>
      </c>
      <c r="G39" s="13" t="s">
        <v>118</v>
      </c>
      <c r="H39" s="13" t="s">
        <v>119</v>
      </c>
    </row>
    <row r="40" spans="1:8" x14ac:dyDescent="0.3">
      <c r="A40" s="11">
        <v>105</v>
      </c>
      <c r="B40" s="11" t="str">
        <f t="shared" si="1"/>
        <v>104-105</v>
      </c>
      <c r="C40" s="11" t="s">
        <v>120</v>
      </c>
      <c r="D40" s="11">
        <v>704</v>
      </c>
      <c r="E40" s="12"/>
      <c r="F40" s="11" t="s">
        <v>93</v>
      </c>
      <c r="G40" s="13" t="s">
        <v>121</v>
      </c>
      <c r="H40" s="13" t="s">
        <v>122</v>
      </c>
    </row>
    <row r="41" spans="1:8" x14ac:dyDescent="0.3">
      <c r="A41" s="11">
        <v>106</v>
      </c>
      <c r="B41" s="11" t="str">
        <f t="shared" si="1"/>
        <v>105-106</v>
      </c>
      <c r="C41" s="11" t="s">
        <v>18</v>
      </c>
      <c r="D41" s="11">
        <v>692</v>
      </c>
      <c r="E41" s="12"/>
      <c r="F41" s="11" t="s">
        <v>93</v>
      </c>
      <c r="G41" s="13" t="s">
        <v>123</v>
      </c>
      <c r="H41" s="13" t="s">
        <v>124</v>
      </c>
    </row>
    <row r="42" spans="1:8" x14ac:dyDescent="0.3">
      <c r="A42" s="11">
        <v>107</v>
      </c>
      <c r="B42" s="11" t="str">
        <f t="shared" si="1"/>
        <v>106-107</v>
      </c>
      <c r="C42" s="11" t="s">
        <v>18</v>
      </c>
      <c r="D42" s="11">
        <v>637</v>
      </c>
      <c r="E42" s="12"/>
      <c r="F42" s="11" t="s">
        <v>93</v>
      </c>
      <c r="G42" s="13" t="s">
        <v>125</v>
      </c>
      <c r="H42" s="13" t="s">
        <v>126</v>
      </c>
    </row>
    <row r="43" spans="1:8" x14ac:dyDescent="0.3">
      <c r="A43" s="11">
        <v>108</v>
      </c>
      <c r="B43" s="11" t="str">
        <f t="shared" si="1"/>
        <v>107-108</v>
      </c>
      <c r="C43" s="11" t="s">
        <v>18</v>
      </c>
      <c r="D43" s="11">
        <v>782</v>
      </c>
      <c r="E43" s="12"/>
      <c r="F43" s="11" t="s">
        <v>93</v>
      </c>
      <c r="G43" s="13" t="s">
        <v>127</v>
      </c>
      <c r="H43" s="13" t="s">
        <v>128</v>
      </c>
    </row>
    <row r="44" spans="1:8" x14ac:dyDescent="0.3">
      <c r="A44" s="11">
        <v>109</v>
      </c>
      <c r="B44" s="11" t="str">
        <f t="shared" si="1"/>
        <v>108-109</v>
      </c>
      <c r="C44" s="11" t="s">
        <v>18</v>
      </c>
      <c r="D44" s="11">
        <v>671</v>
      </c>
      <c r="E44" s="12"/>
      <c r="F44" s="11" t="s">
        <v>93</v>
      </c>
      <c r="G44" s="13" t="s">
        <v>129</v>
      </c>
      <c r="H44" s="13" t="s">
        <v>130</v>
      </c>
    </row>
    <row r="45" spans="1:8" x14ac:dyDescent="0.3">
      <c r="A45" s="11">
        <v>110</v>
      </c>
      <c r="B45" s="11" t="str">
        <f t="shared" si="1"/>
        <v>109-110</v>
      </c>
      <c r="C45" s="11" t="s">
        <v>18</v>
      </c>
      <c r="D45" s="11">
        <v>576</v>
      </c>
      <c r="E45" s="12"/>
      <c r="F45" s="11" t="s">
        <v>93</v>
      </c>
      <c r="G45" s="13" t="s">
        <v>131</v>
      </c>
      <c r="H45" s="13" t="s">
        <v>132</v>
      </c>
    </row>
    <row r="46" spans="1:8" x14ac:dyDescent="0.3">
      <c r="A46" s="11">
        <v>111</v>
      </c>
      <c r="B46" s="11" t="str">
        <f t="shared" si="1"/>
        <v>110-111</v>
      </c>
      <c r="C46" s="11" t="s">
        <v>18</v>
      </c>
      <c r="D46" s="11">
        <v>684</v>
      </c>
      <c r="E46" s="12"/>
      <c r="F46" s="11" t="s">
        <v>93</v>
      </c>
      <c r="G46" s="13" t="s">
        <v>133</v>
      </c>
      <c r="H46" s="13" t="s">
        <v>134</v>
      </c>
    </row>
    <row r="47" spans="1:8" x14ac:dyDescent="0.3">
      <c r="A47" s="11">
        <v>112</v>
      </c>
      <c r="B47" s="11" t="str">
        <f t="shared" si="1"/>
        <v>111-112</v>
      </c>
      <c r="C47" s="11" t="s">
        <v>18</v>
      </c>
      <c r="D47" s="11">
        <v>526</v>
      </c>
      <c r="E47" s="12"/>
      <c r="F47" s="11" t="s">
        <v>93</v>
      </c>
      <c r="G47" s="13" t="s">
        <v>135</v>
      </c>
      <c r="H47" s="13" t="s">
        <v>136</v>
      </c>
    </row>
    <row r="48" spans="1:8" ht="15" x14ac:dyDescent="0.3">
      <c r="A48" s="11">
        <v>113</v>
      </c>
      <c r="B48" s="11" t="str">
        <f t="shared" si="1"/>
        <v>112-113</v>
      </c>
      <c r="C48" s="11" t="s">
        <v>10</v>
      </c>
      <c r="D48" s="11">
        <v>278</v>
      </c>
      <c r="E48" s="12" t="s">
        <v>137</v>
      </c>
      <c r="F48" s="11" t="s">
        <v>93</v>
      </c>
      <c r="G48" s="13" t="s">
        <v>138</v>
      </c>
      <c r="H48" s="13" t="s">
        <v>139</v>
      </c>
    </row>
    <row r="49" spans="1:8" x14ac:dyDescent="0.3">
      <c r="A49" s="11">
        <v>114</v>
      </c>
      <c r="B49" s="11" t="str">
        <f t="shared" si="1"/>
        <v>113-114</v>
      </c>
      <c r="C49" s="11" t="s">
        <v>18</v>
      </c>
      <c r="D49" s="11">
        <v>387</v>
      </c>
      <c r="E49" s="12"/>
      <c r="F49" s="11" t="s">
        <v>93</v>
      </c>
      <c r="G49" s="13" t="s">
        <v>140</v>
      </c>
      <c r="H49" s="13" t="s">
        <v>141</v>
      </c>
    </row>
    <row r="50" spans="1:8" x14ac:dyDescent="0.3">
      <c r="A50" s="11">
        <v>115</v>
      </c>
      <c r="B50" s="11" t="str">
        <f t="shared" si="1"/>
        <v>114-115</v>
      </c>
      <c r="C50" s="11" t="s">
        <v>18</v>
      </c>
      <c r="D50" s="11">
        <v>362</v>
      </c>
      <c r="E50" s="12"/>
      <c r="F50" s="11" t="s">
        <v>93</v>
      </c>
      <c r="G50" s="13" t="s">
        <v>142</v>
      </c>
      <c r="H50" s="13" t="s">
        <v>143</v>
      </c>
    </row>
    <row r="51" spans="1:8" x14ac:dyDescent="0.3">
      <c r="A51" s="11">
        <v>116</v>
      </c>
      <c r="B51" s="11" t="str">
        <f t="shared" si="1"/>
        <v>115-116</v>
      </c>
      <c r="C51" s="11" t="s">
        <v>18</v>
      </c>
      <c r="D51" s="11">
        <v>425</v>
      </c>
      <c r="E51" s="12"/>
      <c r="F51" s="11" t="s">
        <v>93</v>
      </c>
      <c r="G51" s="13" t="s">
        <v>144</v>
      </c>
      <c r="H51" s="13" t="s">
        <v>145</v>
      </c>
    </row>
    <row r="52" spans="1:8" x14ac:dyDescent="0.3">
      <c r="A52" s="11">
        <v>117</v>
      </c>
      <c r="B52" s="11" t="str">
        <f t="shared" si="1"/>
        <v>116-117</v>
      </c>
      <c r="C52" s="11" t="s">
        <v>18</v>
      </c>
      <c r="D52" s="11">
        <v>398</v>
      </c>
      <c r="E52" s="12"/>
      <c r="F52" s="11" t="s">
        <v>93</v>
      </c>
      <c r="G52" s="13" t="s">
        <v>146</v>
      </c>
      <c r="H52" s="13" t="s">
        <v>147</v>
      </c>
    </row>
    <row r="53" spans="1:8" x14ac:dyDescent="0.3">
      <c r="A53" s="11">
        <v>118</v>
      </c>
      <c r="B53" s="11" t="str">
        <f t="shared" si="1"/>
        <v>117-118</v>
      </c>
      <c r="C53" s="11" t="s">
        <v>18</v>
      </c>
      <c r="D53" s="11">
        <v>527</v>
      </c>
      <c r="E53" s="12"/>
      <c r="F53" s="11" t="s">
        <v>93</v>
      </c>
      <c r="G53" s="13" t="s">
        <v>148</v>
      </c>
      <c r="H53" s="13" t="s">
        <v>149</v>
      </c>
    </row>
    <row r="54" spans="1:8" x14ac:dyDescent="0.3">
      <c r="A54" s="11">
        <v>119</v>
      </c>
      <c r="B54" s="11" t="str">
        <f t="shared" si="1"/>
        <v>118-119</v>
      </c>
      <c r="C54" s="11" t="s">
        <v>18</v>
      </c>
      <c r="D54" s="11">
        <v>268</v>
      </c>
      <c r="E54" s="12"/>
      <c r="F54" s="11" t="s">
        <v>93</v>
      </c>
      <c r="G54" s="13" t="s">
        <v>150</v>
      </c>
      <c r="H54" s="13" t="s">
        <v>151</v>
      </c>
    </row>
    <row r="55" spans="1:8" ht="15" x14ac:dyDescent="0.3">
      <c r="A55" s="11">
        <v>120</v>
      </c>
      <c r="B55" s="11" t="str">
        <f t="shared" si="1"/>
        <v>119-120</v>
      </c>
      <c r="C55" s="11" t="s">
        <v>10</v>
      </c>
      <c r="D55" s="11">
        <v>370</v>
      </c>
      <c r="E55" s="12" t="s">
        <v>152</v>
      </c>
      <c r="F55" s="11" t="s">
        <v>93</v>
      </c>
      <c r="G55" s="13" t="s">
        <v>153</v>
      </c>
      <c r="H55" s="13" t="s">
        <v>154</v>
      </c>
    </row>
    <row r="56" spans="1:8" x14ac:dyDescent="0.3">
      <c r="A56" s="11">
        <v>121</v>
      </c>
      <c r="B56" s="11" t="str">
        <f t="shared" si="1"/>
        <v>120-121</v>
      </c>
      <c r="C56" s="11" t="s">
        <v>18</v>
      </c>
      <c r="D56" s="11">
        <v>305</v>
      </c>
      <c r="E56" s="12"/>
      <c r="F56" s="11" t="s">
        <v>93</v>
      </c>
      <c r="G56" s="13" t="s">
        <v>155</v>
      </c>
      <c r="H56" s="13" t="s">
        <v>156</v>
      </c>
    </row>
    <row r="57" spans="1:8" x14ac:dyDescent="0.3">
      <c r="A57" s="11">
        <v>122</v>
      </c>
      <c r="B57" s="11" t="str">
        <f t="shared" si="1"/>
        <v>121-122</v>
      </c>
      <c r="C57" s="11" t="s">
        <v>18</v>
      </c>
      <c r="D57" s="11">
        <v>367</v>
      </c>
      <c r="E57" s="12"/>
      <c r="F57" s="11" t="s">
        <v>93</v>
      </c>
      <c r="G57" s="13" t="s">
        <v>157</v>
      </c>
      <c r="H57" s="13" t="s">
        <v>158</v>
      </c>
    </row>
    <row r="58" spans="1:8" x14ac:dyDescent="0.3">
      <c r="A58" s="11">
        <v>123</v>
      </c>
      <c r="B58" s="11" t="str">
        <f t="shared" si="1"/>
        <v>122-123</v>
      </c>
      <c r="C58" s="11" t="s">
        <v>18</v>
      </c>
      <c r="D58" s="11">
        <v>282</v>
      </c>
      <c r="E58" s="12"/>
      <c r="F58" s="11" t="s">
        <v>93</v>
      </c>
      <c r="G58" s="13" t="s">
        <v>159</v>
      </c>
      <c r="H58" s="13" t="s">
        <v>160</v>
      </c>
    </row>
    <row r="59" spans="1:8" x14ac:dyDescent="0.3">
      <c r="A59" s="11">
        <v>124</v>
      </c>
      <c r="B59" s="11" t="str">
        <f t="shared" si="1"/>
        <v>123-124</v>
      </c>
      <c r="C59" s="11" t="s">
        <v>18</v>
      </c>
      <c r="D59" s="11">
        <v>527</v>
      </c>
      <c r="E59" s="12"/>
      <c r="F59" s="11" t="s">
        <v>93</v>
      </c>
      <c r="G59" s="13" t="s">
        <v>161</v>
      </c>
      <c r="H59" s="13" t="s">
        <v>162</v>
      </c>
    </row>
    <row r="60" spans="1:8" x14ac:dyDescent="0.3">
      <c r="A60" s="11">
        <v>125</v>
      </c>
      <c r="B60" s="11" t="str">
        <f t="shared" si="1"/>
        <v>124-125</v>
      </c>
      <c r="C60" s="11" t="s">
        <v>18</v>
      </c>
      <c r="D60" s="11">
        <v>215</v>
      </c>
      <c r="E60" s="12"/>
      <c r="F60" s="11" t="s">
        <v>93</v>
      </c>
      <c r="G60" s="13" t="s">
        <v>163</v>
      </c>
      <c r="H60" s="13" t="s">
        <v>164</v>
      </c>
    </row>
    <row r="61" spans="1:8" x14ac:dyDescent="0.3">
      <c r="A61" s="11">
        <v>126</v>
      </c>
      <c r="B61" s="11" t="str">
        <f t="shared" si="1"/>
        <v>125-126</v>
      </c>
      <c r="C61" s="11" t="s">
        <v>38</v>
      </c>
      <c r="D61" s="11">
        <v>472</v>
      </c>
      <c r="E61" s="12"/>
      <c r="F61" s="11" t="s">
        <v>93</v>
      </c>
      <c r="G61" s="13" t="s">
        <v>165</v>
      </c>
      <c r="H61" s="13" t="s">
        <v>166</v>
      </c>
    </row>
    <row r="62" spans="1:8" x14ac:dyDescent="0.3">
      <c r="A62" s="11">
        <v>127</v>
      </c>
      <c r="B62" s="11" t="str">
        <f t="shared" si="1"/>
        <v>126-127</v>
      </c>
      <c r="C62" s="11" t="s">
        <v>18</v>
      </c>
      <c r="D62" s="11">
        <v>394</v>
      </c>
      <c r="E62" s="12"/>
      <c r="F62" s="11" t="s">
        <v>93</v>
      </c>
      <c r="G62" s="13" t="s">
        <v>167</v>
      </c>
      <c r="H62" s="13" t="s">
        <v>168</v>
      </c>
    </row>
    <row r="63" spans="1:8" x14ac:dyDescent="0.3">
      <c r="A63" s="11">
        <v>128</v>
      </c>
      <c r="B63" s="11" t="str">
        <f t="shared" si="1"/>
        <v>127-128</v>
      </c>
      <c r="C63" s="11" t="s">
        <v>18</v>
      </c>
      <c r="D63" s="11">
        <v>595</v>
      </c>
      <c r="E63" s="12"/>
      <c r="F63" s="11" t="s">
        <v>93</v>
      </c>
      <c r="G63" s="13" t="s">
        <v>169</v>
      </c>
      <c r="H63" s="13" t="s">
        <v>170</v>
      </c>
    </row>
    <row r="64" spans="1:8" x14ac:dyDescent="0.3">
      <c r="A64" s="11">
        <v>129</v>
      </c>
      <c r="B64" s="11" t="str">
        <f t="shared" si="1"/>
        <v>128-129</v>
      </c>
      <c r="C64" s="11" t="s">
        <v>18</v>
      </c>
      <c r="D64" s="11">
        <v>510</v>
      </c>
      <c r="E64" s="12"/>
      <c r="F64" s="11" t="s">
        <v>93</v>
      </c>
      <c r="G64" s="13" t="s">
        <v>171</v>
      </c>
      <c r="H64" s="13" t="s">
        <v>172</v>
      </c>
    </row>
    <row r="65" spans="1:8" x14ac:dyDescent="0.3">
      <c r="A65" s="11">
        <v>130</v>
      </c>
      <c r="B65" s="11" t="str">
        <f t="shared" si="1"/>
        <v>129-130</v>
      </c>
      <c r="C65" s="11" t="s">
        <v>120</v>
      </c>
      <c r="D65" s="11">
        <v>454</v>
      </c>
      <c r="E65" s="12"/>
      <c r="F65" s="11" t="s">
        <v>93</v>
      </c>
      <c r="G65" s="13" t="s">
        <v>173</v>
      </c>
      <c r="H65" s="13" t="s">
        <v>174</v>
      </c>
    </row>
    <row r="66" spans="1:8" x14ac:dyDescent="0.3">
      <c r="A66" s="12">
        <v>131</v>
      </c>
      <c r="B66" s="11" t="str">
        <f t="shared" si="1"/>
        <v>130-131</v>
      </c>
      <c r="C66" s="12" t="s">
        <v>18</v>
      </c>
      <c r="D66" s="14">
        <v>540</v>
      </c>
      <c r="E66" s="15">
        <v>0</v>
      </c>
      <c r="F66" s="11" t="s">
        <v>93</v>
      </c>
      <c r="G66" s="16" t="s">
        <v>175</v>
      </c>
      <c r="H66" s="16" t="s">
        <v>176</v>
      </c>
    </row>
    <row r="67" spans="1:8" x14ac:dyDescent="0.3">
      <c r="A67" s="12">
        <v>132</v>
      </c>
      <c r="B67" s="17" t="str">
        <f t="shared" si="1"/>
        <v>131-132</v>
      </c>
      <c r="C67" s="12" t="s">
        <v>18</v>
      </c>
      <c r="D67" s="14">
        <v>685</v>
      </c>
      <c r="E67" s="15">
        <v>0</v>
      </c>
      <c r="F67" s="11" t="s">
        <v>93</v>
      </c>
      <c r="G67" s="16" t="s">
        <v>177</v>
      </c>
      <c r="H67" s="16" t="s">
        <v>178</v>
      </c>
    </row>
    <row r="68" spans="1:8" x14ac:dyDescent="0.3">
      <c r="A68" s="12">
        <v>133</v>
      </c>
      <c r="B68" s="17" t="str">
        <f t="shared" si="1"/>
        <v>132-133</v>
      </c>
      <c r="C68" s="12" t="s">
        <v>18</v>
      </c>
      <c r="D68" s="14">
        <v>569</v>
      </c>
      <c r="E68" s="15">
        <v>0</v>
      </c>
      <c r="F68" s="11" t="s">
        <v>93</v>
      </c>
      <c r="G68" s="16" t="s">
        <v>179</v>
      </c>
      <c r="H68" s="16" t="s">
        <v>180</v>
      </c>
    </row>
    <row r="69" spans="1:8" x14ac:dyDescent="0.3">
      <c r="A69" s="12">
        <v>134</v>
      </c>
      <c r="B69" s="17" t="str">
        <f t="shared" si="1"/>
        <v>133-134</v>
      </c>
      <c r="C69" s="12" t="s">
        <v>10</v>
      </c>
      <c r="D69" s="14">
        <v>794</v>
      </c>
      <c r="E69" s="15" t="s">
        <v>181</v>
      </c>
      <c r="F69" s="11" t="s">
        <v>93</v>
      </c>
      <c r="G69" s="16" t="s">
        <v>182</v>
      </c>
      <c r="H69" s="16" t="s">
        <v>183</v>
      </c>
    </row>
    <row r="70" spans="1:8" x14ac:dyDescent="0.3">
      <c r="A70" s="12">
        <v>135</v>
      </c>
      <c r="B70" s="17" t="str">
        <f t="shared" si="1"/>
        <v>134-135</v>
      </c>
      <c r="C70" s="12" t="s">
        <v>18</v>
      </c>
      <c r="D70" s="14">
        <v>600</v>
      </c>
      <c r="E70" s="15">
        <v>0</v>
      </c>
      <c r="F70" s="11" t="s">
        <v>93</v>
      </c>
      <c r="G70" s="16" t="s">
        <v>184</v>
      </c>
      <c r="H70" s="16" t="s">
        <v>185</v>
      </c>
    </row>
    <row r="71" spans="1:8" x14ac:dyDescent="0.3">
      <c r="A71" s="12">
        <v>136</v>
      </c>
      <c r="B71" s="17" t="str">
        <f t="shared" si="1"/>
        <v>135-136</v>
      </c>
      <c r="C71" s="12" t="s">
        <v>18</v>
      </c>
      <c r="D71" s="14">
        <v>451</v>
      </c>
      <c r="E71" s="15">
        <v>0</v>
      </c>
      <c r="F71" s="11" t="s">
        <v>93</v>
      </c>
      <c r="G71" s="16" t="s">
        <v>186</v>
      </c>
      <c r="H71" s="16" t="s">
        <v>187</v>
      </c>
    </row>
    <row r="72" spans="1:8" x14ac:dyDescent="0.3">
      <c r="A72" s="12">
        <v>137</v>
      </c>
      <c r="B72" s="17" t="str">
        <f t="shared" si="1"/>
        <v>136-137</v>
      </c>
      <c r="C72" s="12" t="s">
        <v>10</v>
      </c>
      <c r="D72" s="14">
        <v>213</v>
      </c>
      <c r="E72" s="15" t="s">
        <v>188</v>
      </c>
      <c r="F72" s="11" t="s">
        <v>93</v>
      </c>
      <c r="G72" s="16" t="s">
        <v>189</v>
      </c>
      <c r="H72" s="16" t="s">
        <v>190</v>
      </c>
    </row>
    <row r="73" spans="1:8" x14ac:dyDescent="0.3">
      <c r="A73" s="12">
        <v>138</v>
      </c>
      <c r="B73" s="17" t="str">
        <f t="shared" si="1"/>
        <v>137-138</v>
      </c>
      <c r="C73" s="12" t="s">
        <v>18</v>
      </c>
      <c r="D73" s="14">
        <v>317</v>
      </c>
      <c r="E73" s="15">
        <v>0</v>
      </c>
      <c r="F73" s="11" t="s">
        <v>93</v>
      </c>
      <c r="G73" s="16" t="s">
        <v>191</v>
      </c>
      <c r="H73" s="16" t="s">
        <v>192</v>
      </c>
    </row>
    <row r="74" spans="1:8" x14ac:dyDescent="0.3">
      <c r="A74" s="12" t="s">
        <v>193</v>
      </c>
      <c r="B74" s="17" t="str">
        <f t="shared" si="1"/>
        <v>138-138A/01</v>
      </c>
      <c r="C74" s="12" t="s">
        <v>194</v>
      </c>
      <c r="D74" s="14">
        <v>486</v>
      </c>
      <c r="E74" s="18">
        <v>0</v>
      </c>
      <c r="F74" s="11" t="s">
        <v>93</v>
      </c>
      <c r="G74" s="16" t="s">
        <v>195</v>
      </c>
      <c r="H74" s="16" t="s">
        <v>196</v>
      </c>
    </row>
    <row r="75" spans="1:8" x14ac:dyDescent="0.3">
      <c r="A75" s="12" t="s">
        <v>197</v>
      </c>
      <c r="B75" s="17" t="str">
        <f t="shared" si="1"/>
        <v>138A/01-138A/02</v>
      </c>
      <c r="C75" s="12" t="s">
        <v>194</v>
      </c>
      <c r="D75" s="14">
        <v>493</v>
      </c>
      <c r="E75" s="15">
        <v>0</v>
      </c>
      <c r="F75" s="11" t="s">
        <v>93</v>
      </c>
      <c r="G75" s="19" t="s">
        <v>198</v>
      </c>
      <c r="H75" s="19" t="s">
        <v>199</v>
      </c>
    </row>
    <row r="76" spans="1:8" x14ac:dyDescent="0.3">
      <c r="A76" s="12" t="s">
        <v>200</v>
      </c>
      <c r="B76" s="17" t="str">
        <f t="shared" si="1"/>
        <v>138A/02-138A/03</v>
      </c>
      <c r="C76" s="12" t="s">
        <v>18</v>
      </c>
      <c r="D76" s="14">
        <v>281</v>
      </c>
      <c r="E76" s="15">
        <v>0</v>
      </c>
      <c r="F76" s="11" t="s">
        <v>93</v>
      </c>
      <c r="G76" s="11">
        <v>11.821457499999999</v>
      </c>
      <c r="H76" s="11">
        <v>109.04587909999999</v>
      </c>
    </row>
    <row r="77" spans="1:8" x14ac:dyDescent="0.3">
      <c r="A77" s="12" t="s">
        <v>201</v>
      </c>
      <c r="B77" s="17" t="str">
        <f t="shared" si="1"/>
        <v>138A/03-138A/04</v>
      </c>
      <c r="C77" s="12" t="s">
        <v>194</v>
      </c>
      <c r="D77" s="14">
        <v>460</v>
      </c>
      <c r="E77" s="15">
        <v>0</v>
      </c>
      <c r="F77" s="11" t="s">
        <v>93</v>
      </c>
      <c r="G77" s="13" t="s">
        <v>202</v>
      </c>
      <c r="H77" s="13" t="s">
        <v>203</v>
      </c>
    </row>
    <row r="78" spans="1:8" x14ac:dyDescent="0.3">
      <c r="A78" s="12" t="s">
        <v>204</v>
      </c>
      <c r="B78" s="17" t="str">
        <f t="shared" si="1"/>
        <v>138A/04-138A/05</v>
      </c>
      <c r="C78" s="12" t="s">
        <v>205</v>
      </c>
      <c r="D78" s="14">
        <v>391</v>
      </c>
      <c r="E78" s="15">
        <v>0</v>
      </c>
      <c r="F78" s="11" t="s">
        <v>93</v>
      </c>
      <c r="G78" s="13" t="s">
        <v>206</v>
      </c>
      <c r="H78" s="13" t="s">
        <v>207</v>
      </c>
    </row>
    <row r="79" spans="1:8" x14ac:dyDescent="0.3">
      <c r="A79" s="12" t="s">
        <v>208</v>
      </c>
      <c r="B79" s="17" t="str">
        <f t="shared" si="1"/>
        <v>138A/05-T220TT1.4</v>
      </c>
      <c r="C79" s="12"/>
      <c r="D79" s="14">
        <v>50</v>
      </c>
      <c r="E79" s="15"/>
      <c r="F79" s="11"/>
      <c r="G79" s="13"/>
      <c r="H7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272CR-274TT1.4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Minh Quang (PTC3)</dc:creator>
  <cp:lastModifiedBy>Đặng Minh Quang (PTC3)</cp:lastModifiedBy>
  <dcterms:created xsi:type="dcterms:W3CDTF">2026-04-02T08:20:21Z</dcterms:created>
  <dcterms:modified xsi:type="dcterms:W3CDTF">2026-04-02T09:19:10Z</dcterms:modified>
</cp:coreProperties>
</file>