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8_{155AF304-3889-4CC1-98DA-439CEDD42CDB}" xr6:coauthVersionLast="47" xr6:coauthVersionMax="47" xr10:uidLastSave="{00000000-0000-0000-0000-000000000000}"/>
  <bookViews>
    <workbookView xWindow="-108" yWindow="-108" windowWidth="23256" windowHeight="12456" xr2:uid="{E9C47988-415C-4F81-959E-B7391F6ABE3F}"/>
  </bookViews>
  <sheets>
    <sheet name="273NP-272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<sst xmlns="http://schemas.openxmlformats.org/spreadsheetml/2006/main" count="243" uniqueCount="144">
  <si>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</si>
  <si>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</si>
  <si>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</si>
  <si>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</si>
  <si>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</si>
  <si>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</si>
  <si>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</si>
  <si>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</si>
  <si>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T220NP</t>
  </si>
  <si>
    <t>11ANRNP</t>
  </si>
  <si>
    <t>Điểm đầu</t>
  </si>
  <si>
    <t>ACB</t>
  </si>
  <si>
    <t>10NRNP</t>
  </si>
  <si>
    <t>Néo góc</t>
  </si>
  <si>
    <t>G41T=0°50'
G42.P=4°42'</t>
  </si>
  <si>
    <t>11.4944069</t>
  </si>
  <si>
    <t>108.8689644</t>
  </si>
  <si>
    <t>09NRNP</t>
  </si>
  <si>
    <t>Đỡ</t>
  </si>
  <si>
    <t>11.4952571</t>
  </si>
  <si>
    <t>108.8657492</t>
  </si>
  <si>
    <t>08NRNP</t>
  </si>
  <si>
    <t>G3.P=17º9'</t>
  </si>
  <si>
    <t>11.4959573</t>
  </si>
  <si>
    <t>108.8625595</t>
  </si>
  <si>
    <t>07NRNP</t>
  </si>
  <si>
    <t>Đỡ thẳng</t>
  </si>
  <si>
    <t>11.4956072</t>
  </si>
  <si>
    <t>108.858145</t>
  </si>
  <si>
    <t>06NRNP</t>
  </si>
  <si>
    <t>11.4951321</t>
  </si>
  <si>
    <t>108.8544704</t>
  </si>
  <si>
    <t>05NRNP</t>
  </si>
  <si>
    <t>11.494782</t>
  </si>
  <si>
    <t>108.8503111</t>
  </si>
  <si>
    <t>04NRNP</t>
  </si>
  <si>
    <t>11.494607</t>
  </si>
  <si>
    <t>108.8471724</t>
  </si>
  <si>
    <t>03NRNP</t>
  </si>
  <si>
    <t>11.4942069</t>
  </si>
  <si>
    <t>108.842962</t>
  </si>
  <si>
    <t>02NRNP</t>
  </si>
  <si>
    <t>G2.T=41º31'</t>
  </si>
  <si>
    <t>11.4939568</t>
  </si>
  <si>
    <t>108.8386495</t>
  </si>
  <si>
    <t>01NRNP</t>
  </si>
  <si>
    <t>Néo</t>
  </si>
  <si>
    <t>G11.P=76º13'</t>
  </si>
  <si>
    <t>11.4951821</t>
  </si>
  <si>
    <t>108.8368378</t>
  </si>
  <si>
    <t>80A</t>
  </si>
  <si>
    <t>G.T=10°8'</t>
  </si>
  <si>
    <t>11.4958338</t>
  </si>
  <si>
    <t>108.8370575</t>
  </si>
  <si>
    <t>80B</t>
  </si>
  <si>
    <t>0°</t>
  </si>
  <si>
    <t>11.4974513</t>
  </si>
  <si>
    <t>108.8358706</t>
  </si>
  <si>
    <t>81</t>
  </si>
  <si>
    <t>Néo thẳng</t>
  </si>
  <si>
    <t>11.5003207</t>
  </si>
  <si>
    <t>108.8365481</t>
  </si>
  <si>
    <t>82</t>
  </si>
  <si>
    <t>11.5050474</t>
  </si>
  <si>
    <t>108.8366453</t>
  </si>
  <si>
    <t>83</t>
  </si>
  <si>
    <t>11.5069087</t>
  </si>
  <si>
    <t>108.8366527</t>
  </si>
  <si>
    <t>84</t>
  </si>
  <si>
    <t>11.5095738</t>
  </si>
  <si>
    <t>108.8366811</t>
  </si>
  <si>
    <t>85</t>
  </si>
  <si>
    <t>11.5149502</t>
  </si>
  <si>
    <t>108.836722</t>
  </si>
  <si>
    <t>86</t>
  </si>
  <si>
    <t>G16.P=17°1'</t>
  </si>
  <si>
    <t>11.51648</t>
  </si>
  <si>
    <t>108.8367775</t>
  </si>
  <si>
    <t>87</t>
  </si>
  <si>
    <t>11.5183291</t>
  </si>
  <si>
    <t>108.8373681</t>
  </si>
  <si>
    <t>88</t>
  </si>
  <si>
    <t>11.5223401</t>
  </si>
  <si>
    <t>108.8386336</t>
  </si>
  <si>
    <t>89</t>
  </si>
  <si>
    <t>11.5250019</t>
  </si>
  <si>
    <t>108.8394594</t>
  </si>
  <si>
    <t>90</t>
  </si>
  <si>
    <t>11.5274661</t>
  </si>
  <si>
    <t>108.8403221</t>
  </si>
  <si>
    <t>91</t>
  </si>
  <si>
    <t>11.533323</t>
  </si>
  <si>
    <t>108.8421629</t>
  </si>
  <si>
    <t>92</t>
  </si>
  <si>
    <t>11.5343167</t>
  </si>
  <si>
    <t>108.8424774</t>
  </si>
  <si>
    <t>93</t>
  </si>
  <si>
    <t>G17.T=22°53'</t>
  </si>
  <si>
    <t>11.5406829</t>
  </si>
  <si>
    <t>108.8444724</t>
  </si>
  <si>
    <t>94</t>
  </si>
  <si>
    <t>11.5427421</t>
  </si>
  <si>
    <t>108.8443062</t>
  </si>
  <si>
    <t>95</t>
  </si>
  <si>
    <t>11.5460025</t>
  </si>
  <si>
    <t>108.8440085</t>
  </si>
  <si>
    <t>96</t>
  </si>
  <si>
    <t>11.5498285</t>
  </si>
  <si>
    <t>108.8436573</t>
  </si>
  <si>
    <t>97</t>
  </si>
  <si>
    <t>11.5540862</t>
  </si>
  <si>
    <t>108.8432384</t>
  </si>
  <si>
    <t>98</t>
  </si>
  <si>
    <t>11.5562849</t>
  </si>
  <si>
    <t>108.8430188</t>
  </si>
  <si>
    <t>99</t>
  </si>
  <si>
    <t>11.5585382</t>
  </si>
  <si>
    <t>108.8428251</t>
  </si>
  <si>
    <t>100</t>
  </si>
  <si>
    <t>11.5624181</t>
  </si>
  <si>
    <t>108.8424415</t>
  </si>
  <si>
    <t>101</t>
  </si>
  <si>
    <t>11.5656072</t>
  </si>
  <si>
    <t>108.8421573</t>
  </si>
  <si>
    <t>102</t>
  </si>
  <si>
    <t>11.5688174</t>
  </si>
  <si>
    <t>108.8418476</t>
  </si>
  <si>
    <t>103</t>
  </si>
  <si>
    <t>11.5715293</t>
  </si>
  <si>
    <t>108.8415791</t>
  </si>
  <si>
    <t>104</t>
  </si>
  <si>
    <t>G18.P=37°23'</t>
  </si>
  <si>
    <t>11.5735107</t>
  </si>
  <si>
    <t>108.8413699</t>
  </si>
  <si>
    <t>104/01N</t>
  </si>
  <si>
    <t>104/02</t>
  </si>
  <si>
    <t>104/03N</t>
  </si>
  <si>
    <t>104/04N</t>
  </si>
  <si>
    <t>G1.P=1°07’</t>
  </si>
  <si>
    <t>104/05</t>
  </si>
  <si>
    <t>104/06</t>
  </si>
  <si>
    <t>104/07N</t>
  </si>
  <si>
    <t>Điểm cuối</t>
  </si>
  <si>
    <t>T220PT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</si>
</sst>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  <charset val="163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8EB0-DC49-4531-BC49-9DD6A8688AB2}">
  <dimension ref="A1:H49"/>
  <sheetViews>
    <sheetView tabSelected="1" topLeftCell="A30" workbookViewId="0">
      <selection activeCell="C52" sqref="C52"/>
    </sheetView>
  </sheetViews>
  <sheetFormatPr defaultColWidth="8.6640625" defaultRowHeight="15.6" x14ac:dyDescent="0.3"/>
  <cols>
    <col min="1" max="1" width="17" style="4" customWidth="1"/>
    <col min="2" max="2" width="17.88671875" style="4" customWidth="1"/>
    <col min="3" max="3" width="13.44140625" style="4" bestFit="1" customWidth="1"/>
    <col min="4" max="6" width="17" style="4" customWidth="1"/>
    <col min="7" max="8" width="14.44140625" style="12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1"/>
      <c r="C2" s="5"/>
      <c r="D2" s="6">
        <v>51</v>
      </c>
      <c r="E2" s="5"/>
      <c r="F2" s="5"/>
      <c r="G2" s="7"/>
      <c r="H2" s="7"/>
    </row>
    <row r="3" spans="1:8" x14ac:dyDescent="0.3">
      <c r="A3" s="5" t="s">
        <v>9</v>
      </c>
      <c r="B3" s="5" t="str">
        <f t="shared" ref="B3:B47" si="0">CONCATENATE(A2,"-",A3)</f>
        <v>T220NP-11ANRNP</v>
      </c>
      <c r="C3" s="8" t="s">
        <v>10</v>
      </c>
      <c r="D3" s="6">
        <v>305</v>
      </c>
      <c r="E3" s="5">
        <v>0</v>
      </c>
      <c r="F3" s="5" t="s">
        <v>11</v>
      </c>
      <c r="G3" s="9">
        <v>114940861</v>
      </c>
      <c r="H3" s="9">
        <v>1088717728</v>
      </c>
    </row>
    <row r="4" spans="1:8" ht="31.2" x14ac:dyDescent="0.3">
      <c r="A4" s="5" t="s">
        <v>12</v>
      </c>
      <c r="B4" s="5" t="str">
        <f t="shared" si="0"/>
        <v>11ANRNP-10NRNP</v>
      </c>
      <c r="C4" s="8" t="s">
        <v>13</v>
      </c>
      <c r="D4" s="6">
        <v>368</v>
      </c>
      <c r="E4" s="10" t="s">
        <v>14</v>
      </c>
      <c r="F4" s="5" t="s">
        <v>11</v>
      </c>
      <c r="G4" s="7" t="s">
        <v>15</v>
      </c>
      <c r="H4" s="7" t="s">
        <v>16</v>
      </c>
    </row>
    <row r="5" spans="1:8" x14ac:dyDescent="0.3">
      <c r="A5" s="5" t="s">
        <v>17</v>
      </c>
      <c r="B5" s="5" t="str">
        <f t="shared" si="0"/>
        <v>10NRNP-09NRNP</v>
      </c>
      <c r="C5" s="8" t="s">
        <v>18</v>
      </c>
      <c r="D5" s="6">
        <v>347</v>
      </c>
      <c r="E5" s="5">
        <v>0</v>
      </c>
      <c r="F5" s="5" t="s">
        <v>11</v>
      </c>
      <c r="G5" s="7" t="s">
        <v>19</v>
      </c>
      <c r="H5" s="7" t="s">
        <v>20</v>
      </c>
    </row>
    <row r="6" spans="1:8" x14ac:dyDescent="0.3">
      <c r="A6" s="5" t="s">
        <v>21</v>
      </c>
      <c r="B6" s="5" t="str">
        <f t="shared" si="0"/>
        <v>09NRNP-08NRNP</v>
      </c>
      <c r="C6" s="8" t="s">
        <v>13</v>
      </c>
      <c r="D6" s="6">
        <v>463</v>
      </c>
      <c r="E6" s="5" t="s">
        <v>22</v>
      </c>
      <c r="F6" s="5" t="s">
        <v>11</v>
      </c>
      <c r="G6" s="7" t="s">
        <v>23</v>
      </c>
      <c r="H6" s="7" t="s">
        <v>24</v>
      </c>
    </row>
    <row r="7" spans="1:8" x14ac:dyDescent="0.3">
      <c r="A7" s="5" t="s">
        <v>25</v>
      </c>
      <c r="B7" s="5" t="str">
        <f t="shared" si="0"/>
        <v>08NRNP-07NRNP</v>
      </c>
      <c r="C7" s="8" t="s">
        <v>26</v>
      </c>
      <c r="D7" s="6">
        <v>430</v>
      </c>
      <c r="E7" s="5">
        <v>0</v>
      </c>
      <c r="F7" s="5" t="s">
        <v>11</v>
      </c>
      <c r="G7" s="7" t="s">
        <v>27</v>
      </c>
      <c r="H7" s="7" t="s">
        <v>28</v>
      </c>
    </row>
    <row r="8" spans="1:8" x14ac:dyDescent="0.3">
      <c r="A8" s="5" t="s">
        <v>29</v>
      </c>
      <c r="B8" s="5" t="str">
        <f t="shared" si="0"/>
        <v>07NRNP-06NRNP</v>
      </c>
      <c r="C8" s="8" t="s">
        <v>26</v>
      </c>
      <c r="D8" s="6">
        <v>429</v>
      </c>
      <c r="E8" s="5">
        <v>0</v>
      </c>
      <c r="F8" s="5" t="s">
        <v>11</v>
      </c>
      <c r="G8" s="7" t="s">
        <v>30</v>
      </c>
      <c r="H8" s="7" t="s">
        <v>31</v>
      </c>
    </row>
    <row r="9" spans="1:8" x14ac:dyDescent="0.3">
      <c r="A9" s="5" t="s">
        <v>32</v>
      </c>
      <c r="B9" s="5" t="str">
        <f t="shared" si="0"/>
        <v>06NRNP-05NRNP</v>
      </c>
      <c r="C9" s="8" t="s">
        <v>26</v>
      </c>
      <c r="D9" s="6">
        <v>350</v>
      </c>
      <c r="E9" s="5">
        <v>0</v>
      </c>
      <c r="F9" s="5" t="s">
        <v>11</v>
      </c>
      <c r="G9" s="7" t="s">
        <v>33</v>
      </c>
      <c r="H9" s="7" t="s">
        <v>34</v>
      </c>
    </row>
    <row r="10" spans="1:8" x14ac:dyDescent="0.3">
      <c r="A10" s="5" t="s">
        <v>35</v>
      </c>
      <c r="B10" s="5" t="str">
        <f t="shared" si="0"/>
        <v>05NRNP-04NRNP</v>
      </c>
      <c r="C10" s="8" t="s">
        <v>26</v>
      </c>
      <c r="D10" s="6">
        <v>467</v>
      </c>
      <c r="E10" s="5">
        <v>0</v>
      </c>
      <c r="F10" s="5" t="s">
        <v>11</v>
      </c>
      <c r="G10" s="7" t="s">
        <v>36</v>
      </c>
      <c r="H10" s="7" t="s">
        <v>37</v>
      </c>
    </row>
    <row r="11" spans="1:8" x14ac:dyDescent="0.3">
      <c r="A11" s="5" t="s">
        <v>38</v>
      </c>
      <c r="B11" s="5" t="str">
        <f t="shared" si="0"/>
        <v>04NRNP-03NRNP</v>
      </c>
      <c r="C11" s="8" t="s">
        <v>26</v>
      </c>
      <c r="D11" s="6">
        <v>466</v>
      </c>
      <c r="E11" s="5">
        <v>0</v>
      </c>
      <c r="F11" s="5" t="s">
        <v>11</v>
      </c>
      <c r="G11" s="7" t="s">
        <v>39</v>
      </c>
      <c r="H11" s="7" t="s">
        <v>40</v>
      </c>
    </row>
    <row r="12" spans="1:8" x14ac:dyDescent="0.3">
      <c r="A12" s="5" t="s">
        <v>41</v>
      </c>
      <c r="B12" s="5" t="str">
        <f t="shared" si="0"/>
        <v>03NRNP-02NRNP</v>
      </c>
      <c r="C12" s="8" t="s">
        <v>13</v>
      </c>
      <c r="D12" s="6">
        <v>251</v>
      </c>
      <c r="E12" s="5" t="s">
        <v>42</v>
      </c>
      <c r="F12" s="5" t="s">
        <v>11</v>
      </c>
      <c r="G12" s="7" t="s">
        <v>43</v>
      </c>
      <c r="H12" s="7" t="s">
        <v>44</v>
      </c>
    </row>
    <row r="13" spans="1:8" x14ac:dyDescent="0.3">
      <c r="A13" s="5" t="s">
        <v>45</v>
      </c>
      <c r="B13" s="5" t="str">
        <f t="shared" si="0"/>
        <v>02NRNP-01NRNP</v>
      </c>
      <c r="C13" s="8" t="s">
        <v>46</v>
      </c>
      <c r="D13" s="6">
        <v>53</v>
      </c>
      <c r="E13" s="5" t="s">
        <v>47</v>
      </c>
      <c r="F13" s="5" t="s">
        <v>11</v>
      </c>
      <c r="G13" s="7" t="s">
        <v>48</v>
      </c>
      <c r="H13" s="7" t="s">
        <v>49</v>
      </c>
    </row>
    <row r="14" spans="1:8" x14ac:dyDescent="0.3">
      <c r="A14" s="5" t="s">
        <v>50</v>
      </c>
      <c r="B14" s="5" t="str">
        <f t="shared" si="0"/>
        <v>01NRNP-80A</v>
      </c>
      <c r="C14" s="5" t="s">
        <v>13</v>
      </c>
      <c r="D14" s="6">
        <v>72</v>
      </c>
      <c r="E14" s="5" t="s">
        <v>51</v>
      </c>
      <c r="F14" s="5" t="s">
        <v>11</v>
      </c>
      <c r="G14" s="7" t="s">
        <v>52</v>
      </c>
      <c r="H14" s="7" t="s">
        <v>53</v>
      </c>
    </row>
    <row r="15" spans="1:8" x14ac:dyDescent="0.3">
      <c r="A15" s="5" t="s">
        <v>54</v>
      </c>
      <c r="B15" s="5" t="str">
        <f t="shared" si="0"/>
        <v>80A-80B</v>
      </c>
      <c r="C15" s="5" t="s">
        <v>13</v>
      </c>
      <c r="D15" s="6">
        <v>223</v>
      </c>
      <c r="E15" s="5" t="s">
        <v>55</v>
      </c>
      <c r="F15" s="5" t="s">
        <v>11</v>
      </c>
      <c r="G15" s="7" t="s">
        <v>56</v>
      </c>
      <c r="H15" s="7" t="s">
        <v>57</v>
      </c>
    </row>
    <row r="16" spans="1:8" x14ac:dyDescent="0.3">
      <c r="A16" s="5" t="s">
        <v>58</v>
      </c>
      <c r="B16" s="5" t="str">
        <f t="shared" si="0"/>
        <v>80B-81</v>
      </c>
      <c r="C16" s="5" t="s">
        <v>59</v>
      </c>
      <c r="D16" s="6">
        <v>334</v>
      </c>
      <c r="E16" s="5" t="s">
        <v>55</v>
      </c>
      <c r="F16" s="5" t="s">
        <v>11</v>
      </c>
      <c r="G16" s="7" t="s">
        <v>60</v>
      </c>
      <c r="H16" s="7" t="s">
        <v>61</v>
      </c>
    </row>
    <row r="17" spans="1:8" x14ac:dyDescent="0.3">
      <c r="A17" s="5" t="s">
        <v>62</v>
      </c>
      <c r="B17" s="5" t="str">
        <f t="shared" si="0"/>
        <v>81-82</v>
      </c>
      <c r="C17" s="5" t="s">
        <v>18</v>
      </c>
      <c r="D17" s="6">
        <v>519</v>
      </c>
      <c r="E17" s="5">
        <v>0</v>
      </c>
      <c r="F17" s="5" t="s">
        <v>11</v>
      </c>
      <c r="G17" s="7" t="s">
        <v>63</v>
      </c>
      <c r="H17" s="7" t="s">
        <v>64</v>
      </c>
    </row>
    <row r="18" spans="1:8" x14ac:dyDescent="0.3">
      <c r="A18" s="5" t="s">
        <v>65</v>
      </c>
      <c r="B18" s="5" t="str">
        <f t="shared" si="0"/>
        <v>82-83</v>
      </c>
      <c r="C18" s="5" t="s">
        <v>18</v>
      </c>
      <c r="D18" s="6">
        <v>206.92</v>
      </c>
      <c r="E18" s="5">
        <v>0</v>
      </c>
      <c r="F18" s="5" t="s">
        <v>11</v>
      </c>
      <c r="G18" s="7" t="s">
        <v>66</v>
      </c>
      <c r="H18" s="7" t="s">
        <v>67</v>
      </c>
    </row>
    <row r="19" spans="1:8" x14ac:dyDescent="0.3">
      <c r="A19" s="5" t="s">
        <v>68</v>
      </c>
      <c r="B19" s="5" t="str">
        <f t="shared" si="0"/>
        <v>83-84</v>
      </c>
      <c r="C19" s="5" t="s">
        <v>18</v>
      </c>
      <c r="D19" s="6">
        <v>299.34199999999998</v>
      </c>
      <c r="E19" s="5">
        <v>0</v>
      </c>
      <c r="F19" s="5" t="s">
        <v>11</v>
      </c>
      <c r="G19" s="7" t="s">
        <v>69</v>
      </c>
      <c r="H19" s="7" t="s">
        <v>70</v>
      </c>
    </row>
    <row r="20" spans="1:8" x14ac:dyDescent="0.3">
      <c r="A20" s="5" t="s">
        <v>71</v>
      </c>
      <c r="B20" s="5" t="str">
        <f t="shared" si="0"/>
        <v>84-85</v>
      </c>
      <c r="C20" s="5" t="s">
        <v>18</v>
      </c>
      <c r="D20" s="6">
        <v>587.73900000000003</v>
      </c>
      <c r="E20" s="5">
        <v>0</v>
      </c>
      <c r="F20" s="5" t="s">
        <v>11</v>
      </c>
      <c r="G20" s="7" t="s">
        <v>72</v>
      </c>
      <c r="H20" s="7" t="s">
        <v>73</v>
      </c>
    </row>
    <row r="21" spans="1:8" x14ac:dyDescent="0.3">
      <c r="A21" s="5" t="s">
        <v>74</v>
      </c>
      <c r="B21" s="5" t="str">
        <f t="shared" si="0"/>
        <v>85-86</v>
      </c>
      <c r="C21" s="5" t="s">
        <v>13</v>
      </c>
      <c r="D21" s="6">
        <v>174.03100000000001</v>
      </c>
      <c r="E21" s="5" t="s">
        <v>75</v>
      </c>
      <c r="F21" s="5" t="s">
        <v>11</v>
      </c>
      <c r="G21" s="7" t="s">
        <v>76</v>
      </c>
      <c r="H21" s="7" t="s">
        <v>77</v>
      </c>
    </row>
    <row r="22" spans="1:8" x14ac:dyDescent="0.3">
      <c r="A22" s="5" t="s">
        <v>78</v>
      </c>
      <c r="B22" s="5" t="str">
        <f t="shared" si="0"/>
        <v>86-87</v>
      </c>
      <c r="C22" s="5" t="s">
        <v>18</v>
      </c>
      <c r="D22" s="6">
        <v>214.999</v>
      </c>
      <c r="E22" s="5">
        <v>0</v>
      </c>
      <c r="F22" s="5" t="s">
        <v>11</v>
      </c>
      <c r="G22" s="7" t="s">
        <v>79</v>
      </c>
      <c r="H22" s="7" t="s">
        <v>80</v>
      </c>
    </row>
    <row r="23" spans="1:8" x14ac:dyDescent="0.3">
      <c r="A23" s="5" t="s">
        <v>81</v>
      </c>
      <c r="B23" s="5" t="str">
        <f t="shared" si="0"/>
        <v>87-88</v>
      </c>
      <c r="C23" s="5" t="s">
        <v>18</v>
      </c>
      <c r="D23" s="6">
        <v>465</v>
      </c>
      <c r="E23" s="5">
        <v>0</v>
      </c>
      <c r="F23" s="5" t="s">
        <v>11</v>
      </c>
      <c r="G23" s="7" t="s">
        <v>82</v>
      </c>
      <c r="H23" s="7" t="s">
        <v>83</v>
      </c>
    </row>
    <row r="24" spans="1:8" x14ac:dyDescent="0.3">
      <c r="A24" s="5" t="s">
        <v>84</v>
      </c>
      <c r="B24" s="5" t="str">
        <f t="shared" si="0"/>
        <v>88-89</v>
      </c>
      <c r="C24" s="5" t="s">
        <v>18</v>
      </c>
      <c r="D24" s="6">
        <v>305</v>
      </c>
      <c r="E24" s="5">
        <v>0</v>
      </c>
      <c r="F24" s="5" t="s">
        <v>11</v>
      </c>
      <c r="G24" s="7" t="s">
        <v>85</v>
      </c>
      <c r="H24" s="7" t="s">
        <v>86</v>
      </c>
    </row>
    <row r="25" spans="1:8" x14ac:dyDescent="0.3">
      <c r="A25" s="5" t="s">
        <v>87</v>
      </c>
      <c r="B25" s="5" t="str">
        <f t="shared" si="0"/>
        <v>89-90</v>
      </c>
      <c r="C25" s="5" t="s">
        <v>18</v>
      </c>
      <c r="D25" s="6">
        <v>299.90800000000002</v>
      </c>
      <c r="E25" s="5">
        <v>0</v>
      </c>
      <c r="F25" s="5" t="s">
        <v>11</v>
      </c>
      <c r="G25" s="7" t="s">
        <v>88</v>
      </c>
      <c r="H25" s="7" t="s">
        <v>89</v>
      </c>
    </row>
    <row r="26" spans="1:8" x14ac:dyDescent="0.3">
      <c r="A26" s="5" t="s">
        <v>90</v>
      </c>
      <c r="B26" s="5" t="str">
        <f t="shared" si="0"/>
        <v>90-91</v>
      </c>
      <c r="C26" s="5" t="s">
        <v>18</v>
      </c>
      <c r="D26" s="6">
        <v>666.09100000000001</v>
      </c>
      <c r="E26" s="5">
        <v>0</v>
      </c>
      <c r="F26" s="5" t="s">
        <v>11</v>
      </c>
      <c r="G26" s="7" t="s">
        <v>91</v>
      </c>
      <c r="H26" s="7" t="s">
        <v>92</v>
      </c>
    </row>
    <row r="27" spans="1:8" x14ac:dyDescent="0.3">
      <c r="A27" s="5" t="s">
        <v>93</v>
      </c>
      <c r="B27" s="5" t="str">
        <f t="shared" si="0"/>
        <v>91-92</v>
      </c>
      <c r="C27" s="5" t="s">
        <v>18</v>
      </c>
      <c r="D27" s="6">
        <v>114</v>
      </c>
      <c r="E27" s="5">
        <v>0</v>
      </c>
      <c r="F27" s="5" t="s">
        <v>11</v>
      </c>
      <c r="G27" s="7" t="s">
        <v>94</v>
      </c>
      <c r="H27" s="7" t="s">
        <v>95</v>
      </c>
    </row>
    <row r="28" spans="1:8" x14ac:dyDescent="0.3">
      <c r="A28" s="5" t="s">
        <v>96</v>
      </c>
      <c r="B28" s="5" t="str">
        <f t="shared" si="0"/>
        <v>92-93</v>
      </c>
      <c r="C28" s="5" t="s">
        <v>13</v>
      </c>
      <c r="D28" s="6">
        <v>741.82600000000002</v>
      </c>
      <c r="E28" s="5" t="s">
        <v>97</v>
      </c>
      <c r="F28" s="5" t="s">
        <v>11</v>
      </c>
      <c r="G28" s="7" t="s">
        <v>98</v>
      </c>
      <c r="H28" s="7" t="s">
        <v>99</v>
      </c>
    </row>
    <row r="29" spans="1:8" x14ac:dyDescent="0.3">
      <c r="A29" s="5" t="s">
        <v>100</v>
      </c>
      <c r="B29" s="5" t="str">
        <f t="shared" si="0"/>
        <v>93-94</v>
      </c>
      <c r="C29" s="5" t="s">
        <v>18</v>
      </c>
      <c r="D29" s="6">
        <v>225.98699999999999</v>
      </c>
      <c r="E29" s="5">
        <v>0</v>
      </c>
      <c r="F29" s="5" t="s">
        <v>11</v>
      </c>
      <c r="G29" s="7" t="s">
        <v>101</v>
      </c>
      <c r="H29" s="7" t="s">
        <v>102</v>
      </c>
    </row>
    <row r="30" spans="1:8" x14ac:dyDescent="0.3">
      <c r="A30" s="5" t="s">
        <v>103</v>
      </c>
      <c r="B30" s="5" t="str">
        <f t="shared" si="0"/>
        <v>94-95</v>
      </c>
      <c r="C30" s="8" t="s">
        <v>18</v>
      </c>
      <c r="D30" s="6">
        <v>370.00700000000001</v>
      </c>
      <c r="E30" s="5">
        <v>0</v>
      </c>
      <c r="F30" s="5" t="s">
        <v>11</v>
      </c>
      <c r="G30" s="7" t="s">
        <v>104</v>
      </c>
      <c r="H30" s="7" t="s">
        <v>105</v>
      </c>
    </row>
    <row r="31" spans="1:8" x14ac:dyDescent="0.3">
      <c r="A31" s="5" t="s">
        <v>106</v>
      </c>
      <c r="B31" s="5" t="str">
        <f t="shared" si="0"/>
        <v>95-96</v>
      </c>
      <c r="C31" s="8" t="s">
        <v>18</v>
      </c>
      <c r="D31" s="6">
        <v>419.99</v>
      </c>
      <c r="E31" s="5">
        <v>0</v>
      </c>
      <c r="F31" s="5" t="s">
        <v>11</v>
      </c>
      <c r="G31" s="7" t="s">
        <v>107</v>
      </c>
      <c r="H31" s="7" t="s">
        <v>108</v>
      </c>
    </row>
    <row r="32" spans="1:8" x14ac:dyDescent="0.3">
      <c r="A32" s="5" t="s">
        <v>109</v>
      </c>
      <c r="B32" s="5" t="str">
        <f t="shared" si="0"/>
        <v>96-97</v>
      </c>
      <c r="C32" s="8" t="s">
        <v>18</v>
      </c>
      <c r="D32" s="6">
        <v>475.01</v>
      </c>
      <c r="E32" s="5">
        <v>0</v>
      </c>
      <c r="F32" s="5" t="s">
        <v>11</v>
      </c>
      <c r="G32" s="7" t="s">
        <v>110</v>
      </c>
      <c r="H32" s="7" t="s">
        <v>111</v>
      </c>
    </row>
    <row r="33" spans="1:8" x14ac:dyDescent="0.3">
      <c r="A33" s="5" t="s">
        <v>112</v>
      </c>
      <c r="B33" s="5" t="str">
        <f t="shared" si="0"/>
        <v>97-98</v>
      </c>
      <c r="C33" s="8" t="s">
        <v>18</v>
      </c>
      <c r="D33" s="6">
        <v>240</v>
      </c>
      <c r="E33" s="5">
        <v>0</v>
      </c>
      <c r="F33" s="5" t="s">
        <v>11</v>
      </c>
      <c r="G33" s="7" t="s">
        <v>113</v>
      </c>
      <c r="H33" s="7" t="s">
        <v>114</v>
      </c>
    </row>
    <row r="34" spans="1:8" x14ac:dyDescent="0.3">
      <c r="A34" s="5" t="s">
        <v>115</v>
      </c>
      <c r="B34" s="5" t="str">
        <f t="shared" si="0"/>
        <v>98-99</v>
      </c>
      <c r="C34" s="8" t="s">
        <v>18</v>
      </c>
      <c r="D34" s="6">
        <v>254.63560000000001</v>
      </c>
      <c r="E34" s="5">
        <v>0</v>
      </c>
      <c r="F34" s="5" t="s">
        <v>11</v>
      </c>
      <c r="G34" s="7" t="s">
        <v>116</v>
      </c>
      <c r="H34" s="7" t="s">
        <v>117</v>
      </c>
    </row>
    <row r="35" spans="1:8" x14ac:dyDescent="0.3">
      <c r="A35" s="5" t="s">
        <v>118</v>
      </c>
      <c r="B35" s="5" t="str">
        <f t="shared" si="0"/>
        <v>99-100</v>
      </c>
      <c r="C35" s="8" t="s">
        <v>18</v>
      </c>
      <c r="D35" s="6">
        <v>427.00200000000001</v>
      </c>
      <c r="E35" s="5">
        <v>0</v>
      </c>
      <c r="F35" s="5" t="s">
        <v>11</v>
      </c>
      <c r="G35" s="7" t="s">
        <v>119</v>
      </c>
      <c r="H35" s="7" t="s">
        <v>120</v>
      </c>
    </row>
    <row r="36" spans="1:8" x14ac:dyDescent="0.3">
      <c r="A36" s="5" t="s">
        <v>121</v>
      </c>
      <c r="B36" s="5" t="str">
        <f t="shared" si="0"/>
        <v>100-101</v>
      </c>
      <c r="C36" s="8" t="s">
        <v>18</v>
      </c>
      <c r="D36" s="6">
        <v>354.99799999999999</v>
      </c>
      <c r="E36" s="5">
        <v>0</v>
      </c>
      <c r="F36" s="5" t="s">
        <v>11</v>
      </c>
      <c r="G36" s="7" t="s">
        <v>122</v>
      </c>
      <c r="H36" s="7" t="s">
        <v>123</v>
      </c>
    </row>
    <row r="37" spans="1:8" x14ac:dyDescent="0.3">
      <c r="A37" s="5" t="s">
        <v>124</v>
      </c>
      <c r="B37" s="5" t="str">
        <f t="shared" si="0"/>
        <v>101-102</v>
      </c>
      <c r="C37" s="8" t="s">
        <v>18</v>
      </c>
      <c r="D37" s="6">
        <v>360.00200000000001</v>
      </c>
      <c r="E37" s="5">
        <v>0</v>
      </c>
      <c r="F37" s="5" t="s">
        <v>11</v>
      </c>
      <c r="G37" s="7" t="s">
        <v>125</v>
      </c>
      <c r="H37" s="7" t="s">
        <v>126</v>
      </c>
    </row>
    <row r="38" spans="1:8" x14ac:dyDescent="0.3">
      <c r="A38" s="5" t="s">
        <v>127</v>
      </c>
      <c r="B38" s="5" t="str">
        <f t="shared" si="0"/>
        <v>102-103</v>
      </c>
      <c r="C38" s="8" t="s">
        <v>18</v>
      </c>
      <c r="D38" s="6">
        <v>300.49299999999999</v>
      </c>
      <c r="E38" s="5">
        <v>0</v>
      </c>
      <c r="F38" s="5" t="s">
        <v>11</v>
      </c>
      <c r="G38" s="7" t="s">
        <v>128</v>
      </c>
      <c r="H38" s="7" t="s">
        <v>129</v>
      </c>
    </row>
    <row r="39" spans="1:8" x14ac:dyDescent="0.3">
      <c r="A39" s="5" t="s">
        <v>130</v>
      </c>
      <c r="B39" s="5" t="str">
        <f t="shared" si="0"/>
        <v>103-104</v>
      </c>
      <c r="C39" s="8" t="s">
        <v>13</v>
      </c>
      <c r="D39" s="6">
        <v>216.22300000000001</v>
      </c>
      <c r="E39" s="10" t="s">
        <v>131</v>
      </c>
      <c r="F39" s="5" t="s">
        <v>11</v>
      </c>
      <c r="G39" s="7" t="s">
        <v>132</v>
      </c>
      <c r="H39" s="7" t="s">
        <v>133</v>
      </c>
    </row>
    <row r="40" spans="1:8" x14ac:dyDescent="0.3">
      <c r="A40" s="5" t="s">
        <v>134</v>
      </c>
      <c r="B40" s="5" t="str">
        <f t="shared" si="0"/>
        <v>104-104/01N</v>
      </c>
      <c r="C40" s="8" t="s">
        <v>46</v>
      </c>
      <c r="D40" s="6">
        <v>268</v>
      </c>
      <c r="E40" s="5" t="s">
        <v>55</v>
      </c>
      <c r="F40" s="5" t="s">
        <v>11</v>
      </c>
      <c r="G40" s="11">
        <v>11.495182099999999</v>
      </c>
      <c r="H40" s="11">
        <v>108.8368378</v>
      </c>
    </row>
    <row r="41" spans="1:8" x14ac:dyDescent="0.3">
      <c r="A41" s="5" t="s">
        <v>135</v>
      </c>
      <c r="B41" s="5" t="str">
        <f t="shared" si="0"/>
        <v>104/01N-104/02</v>
      </c>
      <c r="C41" s="8" t="s">
        <v>18</v>
      </c>
      <c r="D41" s="6">
        <v>381</v>
      </c>
      <c r="E41" s="5" t="s">
        <v>55</v>
      </c>
      <c r="F41" s="5" t="s">
        <v>11</v>
      </c>
      <c r="G41" s="7" t="s">
        <v>43</v>
      </c>
      <c r="H41" s="7" t="s">
        <v>44</v>
      </c>
    </row>
    <row r="42" spans="1:8" x14ac:dyDescent="0.3">
      <c r="A42" s="5" t="s">
        <v>136</v>
      </c>
      <c r="B42" s="5" t="str">
        <f t="shared" si="0"/>
        <v>104/02-104/03N</v>
      </c>
      <c r="C42" s="8" t="s">
        <v>46</v>
      </c>
      <c r="D42" s="5">
        <v>413</v>
      </c>
      <c r="E42" s="5" t="s">
        <v>55</v>
      </c>
      <c r="F42" s="5" t="s">
        <v>11</v>
      </c>
      <c r="G42" s="7" t="s">
        <v>39</v>
      </c>
      <c r="H42" s="7" t="s">
        <v>40</v>
      </c>
    </row>
    <row r="43" spans="1:8" x14ac:dyDescent="0.3">
      <c r="A43" s="5" t="s">
        <v>137</v>
      </c>
      <c r="B43" s="5" t="str">
        <f t="shared" si="0"/>
        <v>104/03N-104/04N</v>
      </c>
      <c r="C43" s="5" t="s">
        <v>13</v>
      </c>
      <c r="D43" s="5">
        <v>502</v>
      </c>
      <c r="E43" s="5" t="s">
        <v>138</v>
      </c>
      <c r="F43" s="5" t="s">
        <v>11</v>
      </c>
      <c r="G43" s="7" t="s">
        <v>36</v>
      </c>
      <c r="H43" s="7" t="s">
        <v>37</v>
      </c>
    </row>
    <row r="44" spans="1:8" x14ac:dyDescent="0.3">
      <c r="A44" s="5" t="s">
        <v>139</v>
      </c>
      <c r="B44" s="5" t="str">
        <f t="shared" si="0"/>
        <v>104/04N-104/05</v>
      </c>
      <c r="C44" s="8" t="s">
        <v>18</v>
      </c>
      <c r="D44" s="5">
        <v>292</v>
      </c>
      <c r="E44" s="5" t="s">
        <v>55</v>
      </c>
      <c r="F44" s="5" t="s">
        <v>11</v>
      </c>
      <c r="G44" s="7" t="s">
        <v>33</v>
      </c>
      <c r="H44" s="7" t="s">
        <v>34</v>
      </c>
    </row>
    <row r="45" spans="1:8" x14ac:dyDescent="0.3">
      <c r="A45" s="5" t="s">
        <v>140</v>
      </c>
      <c r="B45" s="5" t="str">
        <f t="shared" si="0"/>
        <v>104/05-104/06</v>
      </c>
      <c r="C45" s="8" t="s">
        <v>18</v>
      </c>
      <c r="D45" s="5">
        <v>307</v>
      </c>
      <c r="E45" s="5" t="s">
        <v>55</v>
      </c>
      <c r="F45" s="5" t="s">
        <v>11</v>
      </c>
      <c r="G45" s="7" t="s">
        <v>30</v>
      </c>
      <c r="H45" s="7" t="s">
        <v>31</v>
      </c>
    </row>
    <row r="46" spans="1:8" x14ac:dyDescent="0.3">
      <c r="A46" s="5" t="s">
        <v>141</v>
      </c>
      <c r="B46" s="5" t="str">
        <f t="shared" si="0"/>
        <v>104/06-104/07N</v>
      </c>
      <c r="C46" s="8" t="s">
        <v>142</v>
      </c>
      <c r="D46" s="5">
        <v>70</v>
      </c>
      <c r="E46" s="5" t="s">
        <v>55</v>
      </c>
      <c r="F46" s="5" t="s">
        <v>11</v>
      </c>
      <c r="G46" s="7" t="s">
        <v>27</v>
      </c>
      <c r="H46" s="7" t="s">
        <v>28</v>
      </c>
    </row>
    <row r="47" spans="1:8" x14ac:dyDescent="0.3">
      <c r="A47" s="5" t="s">
        <v>143</v>
      </c>
      <c r="B47" s="5" t="str">
        <f t="shared" si="0"/>
        <v>104/07N-T220PT</v>
      </c>
      <c r="C47" s="5"/>
      <c r="D47" s="5">
        <v>0</v>
      </c>
      <c r="E47" s="5"/>
      <c r="F47" s="5"/>
      <c r="G47" s="7"/>
      <c r="H47" s="7"/>
    </row>
    <row r="48" spans="1:8" x14ac:dyDescent="0.3">
      <c r="G48" s="4"/>
      <c r="H48" s="4"/>
    </row>
    <row r="49" s="4" customForma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273NP-272PT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2026-04-02T04:38:55Z</dcterms:created>
  <dcterms:modified xsi:type="dcterms:W3CDTF">2026-04-02T04:39:19Z</dcterms:modified>
</cp:coreProperties>
</file>