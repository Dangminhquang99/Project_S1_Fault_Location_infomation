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FL\data\"/>
    </mc:Choice>
  </mc:AlternateContent>
  <xr:revisionPtr revIDLastSave="0" documentId="13_ncr:1_{E6E2F485-9123-4AE3-8BFA-958BEB4C964B}" xr6:coauthVersionLast="47" xr6:coauthVersionMax="47" xr10:uidLastSave="{00000000-0000-0000-0000-000000000000}"/>
  <bookViews>
    <workbookView xWindow="-108" yWindow="-108" windowWidth="23256" windowHeight="12456" xr2:uid="{DE006260-B5AC-4BE3-8DDB-B9C93C1243AE}"/>
  </bookViews>
  <sheets>
    <sheet name="273XT-271T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<sst xmlns="http://schemas.openxmlformats.org/spreadsheetml/2006/main" count="94" uniqueCount="60">
  <si>
    <t>Vị trí</t>
  </si>
  <si>
    <t>Khoảng cột</t>
  </si>
  <si>
    <t>Công dụng cột</t>
  </si>
  <si>
    <t>Chiều dài</t>
  </si>
  <si>
    <t>Góc lái</t>
  </si>
  <si>
    <t>Thứ tự pha</t>
  </si>
  <si>
    <t>Longitude</t>
  </si>
  <si>
    <t>Latitude</t>
  </si>
  <si>
    <t>T220XT</t>
  </si>
  <si>
    <t>BAC</t>
  </si>
  <si>
    <t>69/48ANR</t>
  </si>
  <si>
    <t>Điểm đầu</t>
  </si>
  <si>
    <t>0º</t>
  </si>
  <si>
    <t>69/49NR</t>
  </si>
  <si>
    <t>Đỡ</t>
  </si>
  <si>
    <t>69/50NR</t>
  </si>
  <si>
    <t>69/51NR(N)</t>
  </si>
  <si>
    <t>Néo góc</t>
  </si>
  <si>
    <t>T17º38</t>
  </si>
  <si>
    <t>69/52NR</t>
  </si>
  <si>
    <t>69/53NR</t>
  </si>
  <si>
    <t>69/54NR</t>
  </si>
  <si>
    <t>69/55NR</t>
  </si>
  <si>
    <t>69/56NR</t>
  </si>
  <si>
    <t>69/57NR</t>
  </si>
  <si>
    <t>69/58NR</t>
  </si>
  <si>
    <t>69/59NR(N)</t>
  </si>
  <si>
    <t>T34º05</t>
  </si>
  <si>
    <t>69/60NR</t>
  </si>
  <si>
    <t>69/60ANR</t>
  </si>
  <si>
    <t>Điểm cuối</t>
  </si>
  <si>
    <t>T220TT</t>
  </si>
  <si>
    <t>11.6814336</t>
  </si>
  <si>
    <t>11.6812714</t>
  </si>
  <si>
    <t>11.6800872</t>
  </si>
  <si>
    <t>11.6794005</t>
  </si>
  <si>
    <t>11.6795303</t>
  </si>
  <si>
    <t>11.6796925</t>
  </si>
  <si>
    <t>11.6798439</t>
  </si>
  <si>
    <t>11.6799899</t>
  </si>
  <si>
    <t>11.680098</t>
  </si>
  <si>
    <t>11.6803035</t>
  </si>
  <si>
    <t>11.6804495</t>
  </si>
  <si>
    <t>11.6805847</t>
  </si>
  <si>
    <t>11.6827686</t>
  </si>
  <si>
    <t>11.6845583</t>
  </si>
  <si>
    <t>108.9615215</t>
  </si>
  <si>
    <t>108.9620129</t>
  </si>
  <si>
    <t>108.9662259</t>
  </si>
  <si>
    <t>108.9688266</t>
  </si>
  <si>
    <t>108.9722721</t>
  </si>
  <si>
    <t>108.9759053</t>
  </si>
  <si>
    <t>108.9798201</t>
  </si>
  <si>
    <t>108.9834809</t>
  </si>
  <si>
    <t>108.9876222</t>
  </si>
  <si>
    <t>108.9916695</t>
  </si>
  <si>
    <t>108.9957941</t>
  </si>
  <si>
    <t>108.9992286</t>
  </si>
  <si>
    <t>109.0017767</t>
  </si>
  <si>
    <t>109.0039136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</si>
</sst>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3"/>
      <scheme val="minor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0A910-9C82-4832-8E04-0A0919577769}">
  <dimension ref="A1:H18"/>
  <sheetViews>
    <sheetView tabSelected="1" workbookViewId="0">
      <selection activeCell="D6" sqref="D6"/>
    </sheetView>
  </sheetViews>
  <sheetFormatPr defaultColWidth="8.6640625" defaultRowHeight="15.6" x14ac:dyDescent="0.3"/>
  <cols>
    <col min="1" max="1" width="17" style="4" customWidth="1"/>
    <col min="2" max="2" width="23.44140625" style="4" customWidth="1"/>
    <col min="3" max="3" width="13.44140625" style="4" bestFit="1" customWidth="1"/>
    <col min="4" max="6" width="17" style="4" customWidth="1"/>
    <col min="7" max="8" width="14.44140625" style="10" customWidth="1"/>
    <col min="9" max="16384" width="8.6640625" style="4"/>
  </cols>
  <sheetData>
    <row r="1" spans="1:8" x14ac:dyDescent="0.3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3" t="s">
        <v>7</v>
      </c>
    </row>
    <row r="2" spans="1:8" x14ac:dyDescent="0.3">
      <c r="A2" s="2" t="s">
        <v>8</v>
      </c>
      <c r="B2" s="5"/>
      <c r="C2" s="5"/>
      <c r="D2" s="5">
        <v>0</v>
      </c>
      <c r="E2" s="5"/>
      <c r="F2" s="5"/>
      <c r="G2" s="6"/>
      <c r="H2" s="6"/>
    </row>
    <row r="3" spans="1:8" x14ac:dyDescent="0.3">
      <c r="A3" s="7" t="s">
        <v>10</v>
      </c>
      <c r="B3" s="5" t="str">
        <f t="shared" ref="B3:B17" si="0">CONCATENATE(A2,"-",A3)</f>
        <v>T220XT-69/48ANR</v>
      </c>
      <c r="C3" s="5" t="s">
        <v>11</v>
      </c>
      <c r="D3" s="5">
        <v>430</v>
      </c>
      <c r="E3" s="5" t="s">
        <v>12</v>
      </c>
      <c r="F3" s="5" t="s">
        <v>9</v>
      </c>
      <c r="G3" s="8" t="s">
        <v>32</v>
      </c>
      <c r="H3" s="8" t="s">
        <v>46</v>
      </c>
    </row>
    <row r="4" spans="1:8" x14ac:dyDescent="0.3">
      <c r="A4" s="7" t="s">
        <v>13</v>
      </c>
      <c r="B4" s="5" t="str">
        <f t="shared" si="0"/>
        <v>69/48ANR-69/49NR</v>
      </c>
      <c r="C4" s="5" t="s">
        <v>14</v>
      </c>
      <c r="D4" s="5">
        <v>46</v>
      </c>
      <c r="E4" s="5" t="s">
        <v>12</v>
      </c>
      <c r="F4" s="5" t="s">
        <v>9</v>
      </c>
      <c r="G4" s="8" t="s">
        <v>33</v>
      </c>
      <c r="H4" s="8" t="s">
        <v>47</v>
      </c>
    </row>
    <row r="5" spans="1:8" x14ac:dyDescent="0.3">
      <c r="A5" s="7" t="s">
        <v>15</v>
      </c>
      <c r="B5" s="5" t="str">
        <f t="shared" si="0"/>
        <v>69/49NR-69/50NR</v>
      </c>
      <c r="C5" s="5" t="s">
        <v>14</v>
      </c>
      <c r="D5" s="5">
        <v>480</v>
      </c>
      <c r="E5" s="5" t="s">
        <v>12</v>
      </c>
      <c r="F5" s="5" t="s">
        <v>9</v>
      </c>
      <c r="G5" s="8" t="s">
        <v>34</v>
      </c>
      <c r="H5" s="8" t="s">
        <v>48</v>
      </c>
    </row>
    <row r="6" spans="1:8" x14ac:dyDescent="0.3">
      <c r="A6" s="7" t="s">
        <v>16</v>
      </c>
      <c r="B6" s="5" t="str">
        <f t="shared" si="0"/>
        <v>69/50NR-69/51NR(N)</v>
      </c>
      <c r="C6" s="5" t="s">
        <v>17</v>
      </c>
      <c r="D6" s="5">
        <v>304</v>
      </c>
      <c r="E6" s="5" t="s">
        <v>18</v>
      </c>
      <c r="F6" s="5" t="s">
        <v>9</v>
      </c>
      <c r="G6" s="8" t="s">
        <v>35</v>
      </c>
      <c r="H6" s="8" t="s">
        <v>49</v>
      </c>
    </row>
    <row r="7" spans="1:8" x14ac:dyDescent="0.3">
      <c r="A7" s="7" t="s">
        <v>19</v>
      </c>
      <c r="B7" s="5" t="str">
        <f t="shared" si="0"/>
        <v>69/51NR(N)-69/52NR</v>
      </c>
      <c r="C7" s="5" t="s">
        <v>14</v>
      </c>
      <c r="D7" s="5">
        <v>375</v>
      </c>
      <c r="E7" s="5" t="s">
        <v>12</v>
      </c>
      <c r="F7" s="5" t="s">
        <v>9</v>
      </c>
      <c r="G7" s="8" t="s">
        <v>36</v>
      </c>
      <c r="H7" s="8" t="s">
        <v>50</v>
      </c>
    </row>
    <row r="8" spans="1:8" x14ac:dyDescent="0.3">
      <c r="A8" s="7" t="s">
        <v>20</v>
      </c>
      <c r="B8" s="5" t="str">
        <f t="shared" si="0"/>
        <v>69/52NR-69/53NR</v>
      </c>
      <c r="C8" s="5" t="s">
        <v>14</v>
      </c>
      <c r="D8" s="5">
        <v>405</v>
      </c>
      <c r="E8" s="5" t="s">
        <v>12</v>
      </c>
      <c r="F8" s="5" t="s">
        <v>9</v>
      </c>
      <c r="G8" s="8" t="s">
        <v>37</v>
      </c>
      <c r="H8" s="8" t="s">
        <v>51</v>
      </c>
    </row>
    <row r="9" spans="1:8" x14ac:dyDescent="0.3">
      <c r="A9" s="7" t="s">
        <v>21</v>
      </c>
      <c r="B9" s="5" t="str">
        <f t="shared" si="0"/>
        <v>69/53NR-69/54NR</v>
      </c>
      <c r="C9" s="5" t="s">
        <v>14</v>
      </c>
      <c r="D9" s="5">
        <v>425</v>
      </c>
      <c r="E9" s="5" t="s">
        <v>12</v>
      </c>
      <c r="F9" s="5" t="s">
        <v>9</v>
      </c>
      <c r="G9" s="8" t="s">
        <v>38</v>
      </c>
      <c r="H9" s="8" t="s">
        <v>52</v>
      </c>
    </row>
    <row r="10" spans="1:8" x14ac:dyDescent="0.3">
      <c r="A10" s="7" t="s">
        <v>22</v>
      </c>
      <c r="B10" s="5" t="str">
        <f t="shared" si="0"/>
        <v>69/54NR-69/55NR</v>
      </c>
      <c r="C10" s="5" t="s">
        <v>14</v>
      </c>
      <c r="D10" s="5">
        <v>400</v>
      </c>
      <c r="E10" s="5" t="s">
        <v>12</v>
      </c>
      <c r="F10" s="5" t="s">
        <v>9</v>
      </c>
      <c r="G10" s="8" t="s">
        <v>39</v>
      </c>
      <c r="H10" s="8" t="s">
        <v>53</v>
      </c>
    </row>
    <row r="11" spans="1:8" x14ac:dyDescent="0.3">
      <c r="A11" s="7" t="s">
        <v>23</v>
      </c>
      <c r="B11" s="5" t="str">
        <f t="shared" si="0"/>
        <v>69/55NR-69/56NR</v>
      </c>
      <c r="C11" s="5" t="s">
        <v>14</v>
      </c>
      <c r="D11" s="5">
        <v>450</v>
      </c>
      <c r="E11" s="5" t="s">
        <v>12</v>
      </c>
      <c r="F11" s="5" t="s">
        <v>9</v>
      </c>
      <c r="G11" s="8" t="s">
        <v>40</v>
      </c>
      <c r="H11" s="8" t="s">
        <v>54</v>
      </c>
    </row>
    <row r="12" spans="1:8" x14ac:dyDescent="0.3">
      <c r="A12" s="7" t="s">
        <v>24</v>
      </c>
      <c r="B12" s="5" t="str">
        <f t="shared" si="0"/>
        <v>69/56NR-69/57NR</v>
      </c>
      <c r="C12" s="5" t="s">
        <v>14</v>
      </c>
      <c r="D12" s="5">
        <v>440</v>
      </c>
      <c r="E12" s="5" t="s">
        <v>12</v>
      </c>
      <c r="F12" s="5" t="s">
        <v>9</v>
      </c>
      <c r="G12" s="8" t="s">
        <v>41</v>
      </c>
      <c r="H12" s="8" t="s">
        <v>55</v>
      </c>
    </row>
    <row r="13" spans="1:8" x14ac:dyDescent="0.3">
      <c r="A13" s="7" t="s">
        <v>25</v>
      </c>
      <c r="B13" s="5" t="str">
        <f t="shared" si="0"/>
        <v>69/57NR-69/58NR</v>
      </c>
      <c r="C13" s="5" t="s">
        <v>14</v>
      </c>
      <c r="D13" s="5">
        <v>455</v>
      </c>
      <c r="E13" s="5" t="s">
        <v>12</v>
      </c>
      <c r="F13" s="5" t="s">
        <v>9</v>
      </c>
      <c r="G13" s="8" t="s">
        <v>42</v>
      </c>
      <c r="H13" s="8" t="s">
        <v>56</v>
      </c>
    </row>
    <row r="14" spans="1:8" x14ac:dyDescent="0.3">
      <c r="A14" s="9" t="s">
        <v>26</v>
      </c>
      <c r="B14" s="5" t="str">
        <f t="shared" si="0"/>
        <v>69/58NR-69/59NR(N)</v>
      </c>
      <c r="C14" s="5" t="s">
        <v>17</v>
      </c>
      <c r="D14" s="5">
        <v>374</v>
      </c>
      <c r="E14" s="5" t="s">
        <v>27</v>
      </c>
      <c r="F14" s="5" t="s">
        <v>9</v>
      </c>
      <c r="G14" s="8" t="s">
        <v>43</v>
      </c>
      <c r="H14" s="8" t="s">
        <v>57</v>
      </c>
    </row>
    <row r="15" spans="1:8" x14ac:dyDescent="0.3">
      <c r="A15" s="9" t="s">
        <v>28</v>
      </c>
      <c r="B15" s="5" t="str">
        <f t="shared" si="0"/>
        <v>69/59NR(N)-69/60NR</v>
      </c>
      <c r="C15" s="5" t="s">
        <v>14</v>
      </c>
      <c r="D15" s="5">
        <v>370</v>
      </c>
      <c r="E15" s="5" t="s">
        <v>12</v>
      </c>
      <c r="F15" s="5" t="s">
        <v>9</v>
      </c>
      <c r="G15" s="8" t="s">
        <v>44</v>
      </c>
      <c r="H15" s="8" t="s">
        <v>58</v>
      </c>
    </row>
    <row r="16" spans="1:8" x14ac:dyDescent="0.3">
      <c r="A16" s="9" t="s">
        <v>29</v>
      </c>
      <c r="B16" s="5" t="str">
        <f t="shared" si="0"/>
        <v>69/60NR-69/60ANR</v>
      </c>
      <c r="C16" s="5" t="s">
        <v>30</v>
      </c>
      <c r="D16" s="5">
        <v>359</v>
      </c>
      <c r="E16" s="5" t="s">
        <v>12</v>
      </c>
      <c r="F16" s="5" t="s">
        <v>9</v>
      </c>
      <c r="G16" s="8" t="s">
        <v>45</v>
      </c>
      <c r="H16" s="8" t="s">
        <v>59</v>
      </c>
    </row>
    <row r="17" spans="1:8" x14ac:dyDescent="0.3">
      <c r="A17" s="9" t="s">
        <v>31</v>
      </c>
      <c r="B17" s="5" t="str">
        <f t="shared" si="0"/>
        <v>69/60ANR-T220TT</v>
      </c>
      <c r="C17" s="5"/>
      <c r="D17" s="5">
        <v>51</v>
      </c>
      <c r="E17" s="5"/>
      <c r="F17" s="5"/>
      <c r="G17" s="8"/>
      <c r="H17" s="8"/>
    </row>
    <row r="18" spans="1:8" x14ac:dyDescent="0.3">
      <c r="G18" s="4"/>
      <c r="H18" s="4"/>
    </row>
  </sheetData>
  <pageMargins left="0.7" right="0.7" top="0.75" bottom="0.75" header="0.3" footer="0.3"/>
  <ignoredErrors>
    <ignoredError sqref="G3:H1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273XT-271TT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Đặng Minh Quang (PTC3)</dc:creator>
  <cp:lastModifiedBy>Đặng Minh Quang (PTC3)</cp:lastModifiedBy>
  <dcterms:created xsi:type="dcterms:W3CDTF">2026-04-02T04:48:03Z</dcterms:created>
  <dcterms:modified xsi:type="dcterms:W3CDTF">2026-04-02T09:23:32Z</dcterms:modified>
</cp:coreProperties>
</file>