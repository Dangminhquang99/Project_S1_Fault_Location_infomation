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13_ncr:1_{39971150-7C66-4E20-BEED-586F01F83FB3}" xr6:coauthVersionLast="47" xr6:coauthVersionMax="47" xr10:uidLastSave="{00000000-0000-0000-0000-000000000000}"/>
  <bookViews>
    <workbookView xWindow="-108" yWindow="-108" windowWidth="23256" windowHeight="12456" xr2:uid="{C5436078-F2A4-4943-A0B6-92DCF18FA46E}"/>
  </bookViews>
  <sheets>
    <sheet name="276TC-274X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<sst xmlns="http://schemas.openxmlformats.org/spreadsheetml/2006/main" count="58" uniqueCount="43">
  <si>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</si>
  <si>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</si>
  <si>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</si>
  <si>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</si>
  <si>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</si>
  <si>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</si>
  <si>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</si>
  <si>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</si>
  <si>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T220TC</t>
  </si>
  <si>
    <t>69/60ANR</t>
  </si>
  <si>
    <t>Néo thẳng</t>
  </si>
  <si>
    <t>0º</t>
  </si>
  <si>
    <t>BAC</t>
  </si>
  <si>
    <t>11.6845583</t>
  </si>
  <si>
    <t>109.0039136</t>
  </si>
  <si>
    <t>69/61NR</t>
  </si>
  <si>
    <t>Đỡ</t>
  </si>
  <si>
    <t>11.6856722</t>
  </si>
  <si>
    <t>109.0053106</t>
  </si>
  <si>
    <t>69/62NR(N)</t>
  </si>
  <si>
    <t>Néo góc</t>
  </si>
  <si>
    <t>P43º12</t>
  </si>
  <si>
    <t>11.6885272</t>
  </si>
  <si>
    <t>109.0086843</t>
  </si>
  <si>
    <t>69/63NR</t>
  </si>
  <si>
    <t>11.6882893</t>
  </si>
  <si>
    <t>109.0127482</t>
  </si>
  <si>
    <t>69/64NR(N)</t>
  </si>
  <si>
    <t>11.6881271</t>
  </si>
  <si>
    <t>109.0166078</t>
  </si>
  <si>
    <t>69/65NR(N)</t>
  </si>
  <si>
    <t>11.6878729</t>
  </si>
  <si>
    <t>109.0207766</t>
  </si>
  <si>
    <t>69/66NR(N)</t>
  </si>
  <si>
    <t>P25º47</t>
  </si>
  <si>
    <t>11.6877702</t>
  </si>
  <si>
    <t>109.0235098</t>
  </si>
  <si>
    <t>69/67NR(N)</t>
  </si>
  <si>
    <t>Điểm cuối</t>
  </si>
  <si>
    <t>P10º10</t>
  </si>
  <si>
    <t>11.6863049</t>
  </si>
  <si>
    <t>109.0262043</t>
  </si>
  <si>
    <t>T220XT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</si>
</sst>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FECD5-1BAC-479C-BCC0-FD4EE918A1F1}">
  <dimension ref="A1:H12"/>
  <sheetViews>
    <sheetView tabSelected="1" workbookViewId="0">
      <selection activeCell="D5" sqref="D5"/>
    </sheetView>
  </sheetViews>
  <sheetFormatPr defaultColWidth="8.6640625" defaultRowHeight="15.6" x14ac:dyDescent="0.3"/>
  <cols>
    <col min="1" max="1" width="17" style="4" customWidth="1"/>
    <col min="2" max="2" width="23.44140625" style="4" customWidth="1"/>
    <col min="3" max="3" width="13.44140625" style="4" bestFit="1" customWidth="1"/>
    <col min="4" max="6" width="17" style="4" customWidth="1"/>
    <col min="7" max="8" width="14.44140625" style="7" customWidth="1"/>
    <col min="9" max="16384" width="8.6640625" style="4"/>
  </cols>
  <sheetData>
    <row r="1" spans="1: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tr">
        <f t="shared" ref="B2:B11" si="0">CONCATENATE(A1,"-",A2)</f>
        <v>Vị trí-T220TC</v>
      </c>
      <c r="C2" s="2"/>
      <c r="D2" s="2">
        <v>0</v>
      </c>
      <c r="E2" s="2"/>
      <c r="F2" s="2"/>
      <c r="G2" s="3"/>
      <c r="H2" s="3"/>
    </row>
    <row r="3" spans="1:8" x14ac:dyDescent="0.3">
      <c r="A3" s="5" t="s">
        <v>9</v>
      </c>
      <c r="B3" s="2" t="str">
        <f t="shared" si="0"/>
        <v>T220TC-69/60ANR</v>
      </c>
      <c r="C3" s="2" t="s">
        <v>10</v>
      </c>
      <c r="D3" s="2">
        <v>359</v>
      </c>
      <c r="E3" s="2" t="s">
        <v>11</v>
      </c>
      <c r="F3" s="2" t="s">
        <v>12</v>
      </c>
      <c r="G3" s="6" t="s">
        <v>13</v>
      </c>
      <c r="H3" s="6" t="s">
        <v>14</v>
      </c>
    </row>
    <row r="4" spans="1:8" x14ac:dyDescent="0.3">
      <c r="A4" s="5" t="s">
        <v>15</v>
      </c>
      <c r="B4" s="2" t="str">
        <f t="shared" si="0"/>
        <v>69/60ANR-69/61NR</v>
      </c>
      <c r="C4" s="2" t="s">
        <v>16</v>
      </c>
      <c r="D4" s="2">
        <v>141</v>
      </c>
      <c r="E4" s="2" t="s">
        <v>11</v>
      </c>
      <c r="F4" s="2" t="s">
        <v>12</v>
      </c>
      <c r="G4" s="6" t="s">
        <v>17</v>
      </c>
      <c r="H4" s="6" t="s">
        <v>18</v>
      </c>
    </row>
    <row r="5" spans="1:8" x14ac:dyDescent="0.3">
      <c r="A5" s="5" t="s">
        <v>19</v>
      </c>
      <c r="B5" s="2" t="str">
        <f t="shared" si="0"/>
        <v>69/61NR-69/62NR(N)</v>
      </c>
      <c r="C5" s="2" t="s">
        <v>20</v>
      </c>
      <c r="D5" s="2">
        <v>490</v>
      </c>
      <c r="E5" s="2" t="s">
        <v>21</v>
      </c>
      <c r="F5" s="2" t="s">
        <v>12</v>
      </c>
      <c r="G5" s="6" t="s">
        <v>22</v>
      </c>
      <c r="H5" s="6" t="s">
        <v>23</v>
      </c>
    </row>
    <row r="6" spans="1:8" x14ac:dyDescent="0.3">
      <c r="A6" s="5" t="s">
        <v>24</v>
      </c>
      <c r="B6" s="2" t="str">
        <f t="shared" si="0"/>
        <v>69/62NR(N)-69/63NR</v>
      </c>
      <c r="C6" s="2" t="s">
        <v>16</v>
      </c>
      <c r="D6" s="2">
        <v>440</v>
      </c>
      <c r="E6" s="2" t="s">
        <v>11</v>
      </c>
      <c r="F6" s="2" t="s">
        <v>12</v>
      </c>
      <c r="G6" s="6" t="s">
        <v>25</v>
      </c>
      <c r="H6" s="6" t="s">
        <v>26</v>
      </c>
    </row>
    <row r="7" spans="1:8" x14ac:dyDescent="0.3">
      <c r="A7" s="5" t="s">
        <v>27</v>
      </c>
      <c r="B7" s="2" t="str">
        <f t="shared" si="0"/>
        <v>69/63NR-69/64NR(N)</v>
      </c>
      <c r="C7" s="2" t="s">
        <v>10</v>
      </c>
      <c r="D7" s="2">
        <v>425</v>
      </c>
      <c r="E7" s="2" t="s">
        <v>11</v>
      </c>
      <c r="F7" s="2" t="s">
        <v>12</v>
      </c>
      <c r="G7" s="6" t="s">
        <v>28</v>
      </c>
      <c r="H7" s="6" t="s">
        <v>29</v>
      </c>
    </row>
    <row r="8" spans="1:8" x14ac:dyDescent="0.3">
      <c r="A8" s="5" t="s">
        <v>30</v>
      </c>
      <c r="B8" s="2" t="str">
        <f t="shared" si="0"/>
        <v>69/64NR(N)-69/65NR(N)</v>
      </c>
      <c r="C8" s="2" t="s">
        <v>10</v>
      </c>
      <c r="D8" s="2">
        <v>453</v>
      </c>
      <c r="E8" s="2" t="s">
        <v>11</v>
      </c>
      <c r="F8" s="2" t="s">
        <v>12</v>
      </c>
      <c r="G8" s="6" t="s">
        <v>31</v>
      </c>
      <c r="H8" s="6" t="s">
        <v>32</v>
      </c>
    </row>
    <row r="9" spans="1:8" x14ac:dyDescent="0.3">
      <c r="A9" s="5" t="s">
        <v>33</v>
      </c>
      <c r="B9" s="2" t="str">
        <f t="shared" si="0"/>
        <v>69/65NR(N)-69/66NR(N)</v>
      </c>
      <c r="C9" s="2" t="s">
        <v>20</v>
      </c>
      <c r="D9" s="2">
        <v>294</v>
      </c>
      <c r="E9" s="2" t="s">
        <v>34</v>
      </c>
      <c r="F9" s="2" t="s">
        <v>12</v>
      </c>
      <c r="G9" s="6" t="s">
        <v>35</v>
      </c>
      <c r="H9" s="6" t="s">
        <v>36</v>
      </c>
    </row>
    <row r="10" spans="1:8" x14ac:dyDescent="0.3">
      <c r="A10" s="5" t="s">
        <v>37</v>
      </c>
      <c r="B10" s="2" t="str">
        <f t="shared" si="0"/>
        <v>69/66NR(N)-69/67NR(N)</v>
      </c>
      <c r="C10" s="2" t="s">
        <v>38</v>
      </c>
      <c r="D10" s="2">
        <v>334</v>
      </c>
      <c r="E10" s="2" t="s">
        <v>39</v>
      </c>
      <c r="F10" s="2" t="s">
        <v>12</v>
      </c>
      <c r="G10" s="6" t="s">
        <v>40</v>
      </c>
      <c r="H10" s="6" t="s">
        <v>41</v>
      </c>
    </row>
    <row r="11" spans="1:8" x14ac:dyDescent="0.3">
      <c r="A11" s="5" t="s">
        <v>42</v>
      </c>
      <c r="B11" s="2" t="str">
        <f t="shared" si="0"/>
        <v>69/67NR(N)-T220XT</v>
      </c>
      <c r="C11" s="2"/>
      <c r="D11" s="2">
        <v>51</v>
      </c>
      <c r="E11" s="2"/>
      <c r="F11" s="2"/>
      <c r="G11" s="6"/>
      <c r="H11" s="6"/>
    </row>
    <row r="12" spans="1:8" x14ac:dyDescent="0.3">
      <c r="G12" s="4"/>
      <c r="H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276TC-274XT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2026-04-02T05:17:14Z</dcterms:created>
  <dcterms:modified xsi:type="dcterms:W3CDTF">2026-04-02T09:23:54Z</dcterms:modified>
</cp:coreProperties>
</file>