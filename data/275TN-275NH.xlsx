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D9B489AE-1064-4C6A-81C6-E8C29723999B}" xr6:coauthVersionLast="47" xr6:coauthVersionMax="47" xr10:uidLastSave="{00000000-0000-0000-0000-000000000000}"/>
  <bookViews>
    <workbookView xWindow="-108" yWindow="-108" windowWidth="23256" windowHeight="12456" xr2:uid="{DE0FA5AC-F643-4096-96F9-5588DDDE0141}"/>
  </bookViews>
  <sheets>
    <sheet name="275TN-275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<sst xmlns="http://schemas.openxmlformats.org/spreadsheetml/2006/main" count="126" uniqueCount="76">
  <si>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</si>
  <si>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</si>
  <si>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</si>
  <si>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</si>
  <si>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</si>
  <si>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</si>
  <si>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</si>
  <si>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</si>
  <si>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T500TN</t>
  </si>
  <si>
    <t>59/07B</t>
  </si>
  <si>
    <t>Điểm đầu</t>
  </si>
  <si>
    <t>-</t>
  </si>
  <si>
    <t>CBA</t>
  </si>
  <si>
    <t>11.43316</t>
  </si>
  <si>
    <t>108.84573</t>
  </si>
  <si>
    <t>59/06</t>
  </si>
  <si>
    <t>Néo</t>
  </si>
  <si>
    <t>11.43408</t>
  </si>
  <si>
    <t>108.84476</t>
  </si>
  <si>
    <t>59/05</t>
  </si>
  <si>
    <t>Đỡ</t>
  </si>
  <si>
    <t>11.43461</t>
  </si>
  <si>
    <t>108.84388</t>
  </si>
  <si>
    <t>59/04</t>
  </si>
  <si>
    <t>11.43555</t>
  </si>
  <si>
    <t>108.84205</t>
  </si>
  <si>
    <t>59/03</t>
  </si>
  <si>
    <t>11.43582</t>
  </si>
  <si>
    <t>108.83867</t>
  </si>
  <si>
    <t>59/02</t>
  </si>
  <si>
    <t>11.43628</t>
  </si>
  <si>
    <t>108.83283</t>
  </si>
  <si>
    <t>59/01</t>
  </si>
  <si>
    <t>11.43648</t>
  </si>
  <si>
    <t>108.83052</t>
  </si>
  <si>
    <t>60</t>
  </si>
  <si>
    <t>Néo góc</t>
  </si>
  <si>
    <t>G13.P=6°1'</t>
  </si>
  <si>
    <t>ACB</t>
  </si>
  <si>
    <t>11.4384258</t>
  </si>
  <si>
    <t>108.8297821</t>
  </si>
  <si>
    <t>60/11</t>
  </si>
  <si>
    <t>11.43833</t>
  </si>
  <si>
    <t>108.82942</t>
  </si>
  <si>
    <t>60/10</t>
  </si>
  <si>
    <t>11.43868</t>
  </si>
  <si>
    <t>108.82692</t>
  </si>
  <si>
    <t>60/09</t>
  </si>
  <si>
    <t>11.43887</t>
  </si>
  <si>
    <t>108.82562</t>
  </si>
  <si>
    <t>60/08</t>
  </si>
  <si>
    <t>11.43797</t>
  </si>
  <si>
    <t>108.82359</t>
  </si>
  <si>
    <t>60/07</t>
  </si>
  <si>
    <t>11.43767</t>
  </si>
  <si>
    <t>108.82098</t>
  </si>
  <si>
    <t>60/06</t>
  </si>
  <si>
    <t>11.43793</t>
  </si>
  <si>
    <t>108.8175</t>
  </si>
  <si>
    <t>60/05</t>
  </si>
  <si>
    <t>11.4351</t>
  </si>
  <si>
    <t>108.81526</t>
  </si>
  <si>
    <t>60/04</t>
  </si>
  <si>
    <t>11.43255</t>
  </si>
  <si>
    <t>108.81319</t>
  </si>
  <si>
    <t>60/03</t>
  </si>
  <si>
    <t>11.4301</t>
  </si>
  <si>
    <t>108.81118</t>
  </si>
  <si>
    <t>60/02</t>
  </si>
  <si>
    <t>11.42771</t>
  </si>
  <si>
    <t>108.80931</t>
  </si>
  <si>
    <t>60/01</t>
  </si>
  <si>
    <t>Điểm cuối</t>
  </si>
  <si>
    <t>11.42812</t>
  </si>
  <si>
    <t>108.8055</t>
  </si>
  <si>
    <t>T220NH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</si>
</sst>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203D-AFA0-486F-A2FD-3AD3BE6A396F}">
  <dimension ref="A1:H22"/>
  <sheetViews>
    <sheetView tabSelected="1" workbookViewId="0">
      <selection activeCell="B6" sqref="B6"/>
    </sheetView>
  </sheetViews>
  <sheetFormatPr defaultColWidth="8.6640625" defaultRowHeight="15.6" x14ac:dyDescent="0.3"/>
  <cols>
    <col min="1" max="1" width="17" style="4" customWidth="1"/>
    <col min="2" max="2" width="17.88671875" style="4" customWidth="1"/>
    <col min="3" max="3" width="13.44140625" style="4" bestFit="1" customWidth="1"/>
    <col min="4" max="6" width="17" style="4" customWidth="1"/>
    <col min="7" max="8" width="14.44140625" style="8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1"/>
      <c r="C2" s="5"/>
      <c r="D2" s="6">
        <v>33</v>
      </c>
      <c r="E2" s="5"/>
      <c r="F2" s="5"/>
      <c r="G2" s="7"/>
      <c r="H2" s="7"/>
    </row>
    <row r="3" spans="1:8" x14ac:dyDescent="0.3">
      <c r="A3" s="5" t="s">
        <v>9</v>
      </c>
      <c r="B3" s="5" t="str">
        <f t="shared" ref="B3:B22" si="0">CONCATENATE(A2,"-",A3)</f>
        <v>T500TN-59/07B</v>
      </c>
      <c r="C3" s="5" t="s">
        <v>10</v>
      </c>
      <c r="D3" s="6">
        <v>123</v>
      </c>
      <c r="E3" s="5" t="s">
        <v>11</v>
      </c>
      <c r="F3" s="5" t="s">
        <v>12</v>
      </c>
      <c r="G3" s="7" t="s">
        <v>13</v>
      </c>
      <c r="H3" s="7" t="s">
        <v>14</v>
      </c>
    </row>
    <row r="4" spans="1:8" x14ac:dyDescent="0.3">
      <c r="A4" s="5" t="s">
        <v>15</v>
      </c>
      <c r="B4" s="5" t="str">
        <f t="shared" si="0"/>
        <v>59/07B-59/06</v>
      </c>
      <c r="C4" s="5" t="s">
        <v>16</v>
      </c>
      <c r="D4" s="6">
        <v>113</v>
      </c>
      <c r="E4" s="5" t="s">
        <v>11</v>
      </c>
      <c r="F4" s="5" t="s">
        <v>12</v>
      </c>
      <c r="G4" s="7" t="s">
        <v>17</v>
      </c>
      <c r="H4" s="7" t="s">
        <v>18</v>
      </c>
    </row>
    <row r="5" spans="1:8" x14ac:dyDescent="0.3">
      <c r="A5" s="5" t="s">
        <v>19</v>
      </c>
      <c r="B5" s="5" t="str">
        <f t="shared" si="0"/>
        <v>59/06-59/05</v>
      </c>
      <c r="C5" s="5" t="s">
        <v>20</v>
      </c>
      <c r="D5" s="6">
        <v>223</v>
      </c>
      <c r="E5" s="5" t="s">
        <v>11</v>
      </c>
      <c r="F5" s="5" t="s">
        <v>12</v>
      </c>
      <c r="G5" s="7" t="s">
        <v>21</v>
      </c>
      <c r="H5" s="7" t="s">
        <v>22</v>
      </c>
    </row>
    <row r="6" spans="1:8" x14ac:dyDescent="0.3">
      <c r="A6" s="5" t="s">
        <v>23</v>
      </c>
      <c r="B6" s="5" t="str">
        <f t="shared" si="0"/>
        <v>59/05-59/04</v>
      </c>
      <c r="C6" s="5" t="s">
        <v>20</v>
      </c>
      <c r="D6" s="6">
        <v>371</v>
      </c>
      <c r="E6" s="5" t="s">
        <v>11</v>
      </c>
      <c r="F6" s="5" t="s">
        <v>12</v>
      </c>
      <c r="G6" s="7" t="s">
        <v>24</v>
      </c>
      <c r="H6" s="7" t="s">
        <v>25</v>
      </c>
    </row>
    <row r="7" spans="1:8" x14ac:dyDescent="0.3">
      <c r="A7" s="5" t="s">
        <v>26</v>
      </c>
      <c r="B7" s="5" t="str">
        <f t="shared" si="0"/>
        <v>59/04-59/03</v>
      </c>
      <c r="C7" s="5" t="s">
        <v>20</v>
      </c>
      <c r="D7" s="6">
        <v>639</v>
      </c>
      <c r="E7" s="5" t="s">
        <v>11</v>
      </c>
      <c r="F7" s="5" t="s">
        <v>12</v>
      </c>
      <c r="G7" s="7" t="s">
        <v>27</v>
      </c>
      <c r="H7" s="7" t="s">
        <v>28</v>
      </c>
    </row>
    <row r="8" spans="1:8" x14ac:dyDescent="0.3">
      <c r="A8" s="5" t="s">
        <v>29</v>
      </c>
      <c r="B8" s="5" t="str">
        <f t="shared" si="0"/>
        <v>59/03-59/02</v>
      </c>
      <c r="C8" s="5" t="s">
        <v>16</v>
      </c>
      <c r="D8" s="6">
        <v>247</v>
      </c>
      <c r="E8" s="5" t="s">
        <v>11</v>
      </c>
      <c r="F8" s="5" t="s">
        <v>12</v>
      </c>
      <c r="G8" s="7" t="s">
        <v>30</v>
      </c>
      <c r="H8" s="7" t="s">
        <v>31</v>
      </c>
    </row>
    <row r="9" spans="1:8" x14ac:dyDescent="0.3">
      <c r="A9" s="5" t="s">
        <v>32</v>
      </c>
      <c r="B9" s="5" t="str">
        <f t="shared" si="0"/>
        <v>59/02-59/01</v>
      </c>
      <c r="C9" s="5" t="s">
        <v>16</v>
      </c>
      <c r="D9" s="6">
        <v>322</v>
      </c>
      <c r="E9" s="5" t="s">
        <v>11</v>
      </c>
      <c r="F9" s="5" t="s">
        <v>12</v>
      </c>
      <c r="G9" s="7" t="s">
        <v>33</v>
      </c>
      <c r="H9" s="7" t="s">
        <v>34</v>
      </c>
    </row>
    <row r="10" spans="1:8" x14ac:dyDescent="0.3">
      <c r="A10" s="5" t="s">
        <v>35</v>
      </c>
      <c r="B10" s="5" t="str">
        <f t="shared" si="0"/>
        <v>59/01-60</v>
      </c>
      <c r="C10" s="5" t="s">
        <v>36</v>
      </c>
      <c r="D10" s="6">
        <v>230</v>
      </c>
      <c r="E10" s="5" t="s">
        <v>37</v>
      </c>
      <c r="F10" s="5" t="s">
        <v>38</v>
      </c>
      <c r="G10" s="7" t="s">
        <v>39</v>
      </c>
      <c r="H10" s="7" t="s">
        <v>40</v>
      </c>
    </row>
    <row r="11" spans="1:8" x14ac:dyDescent="0.3">
      <c r="A11" s="5" t="s">
        <v>41</v>
      </c>
      <c r="B11" s="5" t="str">
        <f t="shared" si="0"/>
        <v>60-60/11</v>
      </c>
      <c r="C11" s="5" t="s">
        <v>16</v>
      </c>
      <c r="D11" s="6">
        <v>32</v>
      </c>
      <c r="E11" s="5" t="s">
        <v>11</v>
      </c>
      <c r="F11" s="5" t="s">
        <v>12</v>
      </c>
      <c r="G11" s="7" t="s">
        <v>42</v>
      </c>
      <c r="H11" s="7" t="s">
        <v>43</v>
      </c>
    </row>
    <row r="12" spans="1:8" x14ac:dyDescent="0.3">
      <c r="A12" s="5" t="s">
        <v>44</v>
      </c>
      <c r="B12" s="5" t="str">
        <f t="shared" si="0"/>
        <v>60/11-60/10</v>
      </c>
      <c r="C12" s="5" t="s">
        <v>20</v>
      </c>
      <c r="D12" s="6">
        <v>275</v>
      </c>
      <c r="E12" s="5" t="s">
        <v>11</v>
      </c>
      <c r="F12" s="5" t="s">
        <v>12</v>
      </c>
      <c r="G12" s="7" t="s">
        <v>45</v>
      </c>
      <c r="H12" s="7" t="s">
        <v>46</v>
      </c>
    </row>
    <row r="13" spans="1:8" x14ac:dyDescent="0.3">
      <c r="A13" s="5" t="s">
        <v>47</v>
      </c>
      <c r="B13" s="5" t="str">
        <f t="shared" si="0"/>
        <v>60/10-60/09</v>
      </c>
      <c r="C13" s="5" t="s">
        <v>16</v>
      </c>
      <c r="D13" s="6">
        <v>147</v>
      </c>
      <c r="E13" s="5" t="s">
        <v>11</v>
      </c>
      <c r="F13" s="5" t="s">
        <v>12</v>
      </c>
      <c r="G13" s="7" t="s">
        <v>48</v>
      </c>
      <c r="H13" s="7" t="s">
        <v>49</v>
      </c>
    </row>
    <row r="14" spans="1:8" x14ac:dyDescent="0.3">
      <c r="A14" s="5" t="s">
        <v>50</v>
      </c>
      <c r="B14" s="5" t="str">
        <f t="shared" si="0"/>
        <v>60/09-60/08</v>
      </c>
      <c r="C14" s="5" t="s">
        <v>16</v>
      </c>
      <c r="D14" s="6">
        <v>247</v>
      </c>
      <c r="E14" s="5" t="s">
        <v>11</v>
      </c>
      <c r="F14" s="5" t="s">
        <v>12</v>
      </c>
      <c r="G14" s="7" t="s">
        <v>51</v>
      </c>
      <c r="H14" s="7" t="s">
        <v>52</v>
      </c>
    </row>
    <row r="15" spans="1:8" x14ac:dyDescent="0.3">
      <c r="A15" s="5" t="s">
        <v>53</v>
      </c>
      <c r="B15" s="5" t="str">
        <f t="shared" si="0"/>
        <v>60/08-60/07</v>
      </c>
      <c r="C15" s="5" t="s">
        <v>16</v>
      </c>
      <c r="D15" s="6">
        <v>281</v>
      </c>
      <c r="E15" s="5" t="s">
        <v>11</v>
      </c>
      <c r="F15" s="5" t="s">
        <v>12</v>
      </c>
      <c r="G15" s="7" t="s">
        <v>54</v>
      </c>
      <c r="H15" s="7" t="s">
        <v>55</v>
      </c>
    </row>
    <row r="16" spans="1:8" x14ac:dyDescent="0.3">
      <c r="A16" s="5" t="s">
        <v>56</v>
      </c>
      <c r="B16" s="5" t="str">
        <f t="shared" si="0"/>
        <v>60/07-60/06</v>
      </c>
      <c r="C16" s="5" t="s">
        <v>16</v>
      </c>
      <c r="D16" s="6">
        <v>379</v>
      </c>
      <c r="E16" s="5" t="s">
        <v>11</v>
      </c>
      <c r="F16" s="5" t="s">
        <v>12</v>
      </c>
      <c r="G16" s="7" t="s">
        <v>57</v>
      </c>
      <c r="H16" s="7" t="s">
        <v>58</v>
      </c>
    </row>
    <row r="17" spans="1:8" x14ac:dyDescent="0.3">
      <c r="A17" s="5" t="s">
        <v>59</v>
      </c>
      <c r="B17" s="5" t="str">
        <f t="shared" si="0"/>
        <v>60/06-60/05</v>
      </c>
      <c r="C17" s="5" t="s">
        <v>20</v>
      </c>
      <c r="D17" s="6">
        <v>405</v>
      </c>
      <c r="E17" s="5" t="s">
        <v>11</v>
      </c>
      <c r="F17" s="5" t="s">
        <v>12</v>
      </c>
      <c r="G17" s="7" t="s">
        <v>60</v>
      </c>
      <c r="H17" s="7" t="s">
        <v>61</v>
      </c>
    </row>
    <row r="18" spans="1:8" x14ac:dyDescent="0.3">
      <c r="A18" s="5" t="s">
        <v>62</v>
      </c>
      <c r="B18" s="5" t="str">
        <f t="shared" si="0"/>
        <v>60/05-60/04</v>
      </c>
      <c r="C18" s="5" t="s">
        <v>20</v>
      </c>
      <c r="D18" s="6">
        <v>353</v>
      </c>
      <c r="E18" s="5" t="s">
        <v>11</v>
      </c>
      <c r="F18" s="5" t="s">
        <v>12</v>
      </c>
      <c r="G18" s="7" t="s">
        <v>63</v>
      </c>
      <c r="H18" s="7" t="s">
        <v>64</v>
      </c>
    </row>
    <row r="19" spans="1:8" x14ac:dyDescent="0.3">
      <c r="A19" s="5" t="s">
        <v>65</v>
      </c>
      <c r="B19" s="5" t="str">
        <f t="shared" si="0"/>
        <v>60/04-60/03</v>
      </c>
      <c r="C19" s="5" t="s">
        <v>20</v>
      </c>
      <c r="D19" s="6">
        <v>358</v>
      </c>
      <c r="E19" s="5" t="s">
        <v>11</v>
      </c>
      <c r="F19" s="5" t="s">
        <v>12</v>
      </c>
      <c r="G19" s="7" t="s">
        <v>66</v>
      </c>
      <c r="H19" s="7" t="s">
        <v>67</v>
      </c>
    </row>
    <row r="20" spans="1:8" x14ac:dyDescent="0.3">
      <c r="A20" s="5" t="s">
        <v>68</v>
      </c>
      <c r="B20" s="5" t="str">
        <f t="shared" si="0"/>
        <v>60/03-60/02</v>
      </c>
      <c r="C20" s="5" t="s">
        <v>16</v>
      </c>
      <c r="D20" s="6">
        <v>328</v>
      </c>
      <c r="E20" s="5" t="s">
        <v>11</v>
      </c>
      <c r="F20" s="5" t="s">
        <v>12</v>
      </c>
      <c r="G20" s="7" t="s">
        <v>69</v>
      </c>
      <c r="H20" s="7" t="s">
        <v>70</v>
      </c>
    </row>
    <row r="21" spans="1:8" x14ac:dyDescent="0.3">
      <c r="A21" s="5" t="s">
        <v>71</v>
      </c>
      <c r="B21" s="5" t="str">
        <f t="shared" si="0"/>
        <v>60/02-60/01</v>
      </c>
      <c r="C21" s="5" t="s">
        <v>72</v>
      </c>
      <c r="D21" s="6">
        <v>418</v>
      </c>
      <c r="E21" s="5" t="s">
        <v>11</v>
      </c>
      <c r="F21" s="5" t="s">
        <v>12</v>
      </c>
      <c r="G21" s="7" t="s">
        <v>73</v>
      </c>
      <c r="H21" s="7" t="s">
        <v>74</v>
      </c>
    </row>
    <row r="22" spans="1:8" x14ac:dyDescent="0.3">
      <c r="A22" s="5" t="s">
        <v>75</v>
      </c>
      <c r="B22" s="5" t="str">
        <f t="shared" si="0"/>
        <v>60/01-T220NH</v>
      </c>
      <c r="C22" s="5"/>
      <c r="D22" s="6">
        <v>60</v>
      </c>
      <c r="E22" s="5" t="s">
        <v>11</v>
      </c>
      <c r="F22" s="5" t="s">
        <v>12</v>
      </c>
      <c r="G22" s="7"/>
      <c r="H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275TN-275NH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2026-04-02T04:42:19Z</dcterms:created>
  <dcterms:modified xsi:type="dcterms:W3CDTF">2026-04-02T04:42:37Z</dcterms:modified>
</cp:coreProperties>
</file>