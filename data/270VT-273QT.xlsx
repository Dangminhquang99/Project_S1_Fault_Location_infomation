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13_ncr:1_{322C3BC6-4876-4F7A-90EC-B9D42B897C9B}" xr6:coauthVersionLast="47" xr6:coauthVersionMax="47" xr10:uidLastSave="{00000000-0000-0000-0000-000000000000}"/>
  <bookViews>
    <workbookView xWindow="-108" yWindow="-108" windowWidth="23256" windowHeight="12456" xr2:uid="{685B0430-1A0B-4890-ADF7-8A0D19264C88}"/>
  </bookViews>
  <sheets>
    <sheet name="270VT-273Q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<sst xmlns="http://schemas.openxmlformats.org/spreadsheetml/2006/main" count="257" uniqueCount="143">
  <si>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</si>
  <si>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</si>
  <si>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</si>
  <si>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</si>
  <si>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</si>
  <si>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</si>
  <si>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</si>
  <si>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</si>
  <si>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T220VT</t>
  </si>
  <si>
    <t>0°</t>
  </si>
  <si>
    <t>01N</t>
  </si>
  <si>
    <t>Điểm đầu</t>
  </si>
  <si>
    <t>ACB</t>
  </si>
  <si>
    <t>11.3219834</t>
  </si>
  <si>
    <t>108.8020332</t>
  </si>
  <si>
    <t>02N</t>
  </si>
  <si>
    <t>Néo thẳng</t>
  </si>
  <si>
    <t>11.3234473</t>
  </si>
  <si>
    <t>108.8004937</t>
  </si>
  <si>
    <t>03N</t>
  </si>
  <si>
    <t>Néo góc</t>
  </si>
  <si>
    <t>G1.P=50°27'</t>
  </si>
  <si>
    <t>11.3249792</t>
  </si>
  <si>
    <t>108.7989252</t>
  </si>
  <si>
    <t>04N</t>
  </si>
  <si>
    <t>G2.P=45°57'</t>
  </si>
  <si>
    <t>11.3265387</t>
  </si>
  <si>
    <t>108.7990546</t>
  </si>
  <si>
    <t>05N</t>
  </si>
  <si>
    <t>11.3274806</t>
  </si>
  <si>
    <t>108.8002608</t>
  </si>
  <si>
    <t>06N</t>
  </si>
  <si>
    <t>G3.P=38°48'</t>
  </si>
  <si>
    <t>11.3292642</t>
  </si>
  <si>
    <t>108.8025177</t>
  </si>
  <si>
    <t>Đỡ</t>
  </si>
  <si>
    <t>11.3292696</t>
  </si>
  <si>
    <t>108.8060391</t>
  </si>
  <si>
    <t>11.3293042</t>
  </si>
  <si>
    <t>108.8089337</t>
  </si>
  <si>
    <t>11.3293289</t>
  </si>
  <si>
    <t>108.8121499</t>
  </si>
  <si>
    <t>11.3293165</t>
  </si>
  <si>
    <t>108.815083</t>
  </si>
  <si>
    <t>11.3293265</t>
  </si>
  <si>
    <t>108.8175357</t>
  </si>
  <si>
    <t>12N</t>
  </si>
  <si>
    <t>G4T.T=22°38'</t>
  </si>
  <si>
    <t>11.3293645</t>
  </si>
  <si>
    <t>108.8230287</t>
  </si>
  <si>
    <t>11.3303236</t>
  </si>
  <si>
    <t>108.8251025</t>
  </si>
  <si>
    <t>11.3319643</t>
  </si>
  <si>
    <t>108.8292119</t>
  </si>
  <si>
    <t>15N</t>
  </si>
  <si>
    <t>G5.P=0°22'</t>
  </si>
  <si>
    <t>11.3326488</t>
  </si>
  <si>
    <t>108.830824</t>
  </si>
  <si>
    <t>16N</t>
  </si>
  <si>
    <t>G6.P=1°32'</t>
  </si>
  <si>
    <t>11.3334017</t>
  </si>
  <si>
    <t>108.8324966</t>
  </si>
  <si>
    <t>11.3362259</t>
  </si>
  <si>
    <t>108.8397351</t>
  </si>
  <si>
    <t>18N</t>
  </si>
  <si>
    <t>G7.T=0°33'</t>
  </si>
  <si>
    <t>11.3365274</t>
  </si>
  <si>
    <t>108.8408489</t>
  </si>
  <si>
    <t>11.3374562</t>
  </si>
  <si>
    <t>108.8429659</t>
  </si>
  <si>
    <t>11.3382819</t>
  </si>
  <si>
    <t>108.8450485</t>
  </si>
  <si>
    <t>21N</t>
  </si>
  <si>
    <t>G.T=0°33'</t>
  </si>
  <si>
    <t>11.3401984</t>
  </si>
  <si>
    <t>108.8498708</t>
  </si>
  <si>
    <t>11.3419371</t>
  </si>
  <si>
    <t>108.8542567</t>
  </si>
  <si>
    <t>11.3429976</t>
  </si>
  <si>
    <t>108.8567895</t>
  </si>
  <si>
    <t>24N</t>
  </si>
  <si>
    <t>G8.T=28°53</t>
  </si>
  <si>
    <t>11.343379</t>
  </si>
  <si>
    <t>108.8577133</t>
  </si>
  <si>
    <t>11.3472412</t>
  </si>
  <si>
    <t>108.8610067</t>
  </si>
  <si>
    <t>11.3495657</t>
  </si>
  <si>
    <t>108.8629696</t>
  </si>
  <si>
    <t>11.3546946</t>
  </si>
  <si>
    <t>108.8673387</t>
  </si>
  <si>
    <t>28N</t>
  </si>
  <si>
    <t>G9.P=1°29'</t>
  </si>
  <si>
    <t>11.3574504</t>
  </si>
  <si>
    <t>108.8696876</t>
  </si>
  <si>
    <t>11.3611639</t>
  </si>
  <si>
    <t>108.8730031</t>
  </si>
  <si>
    <t>11.3634741</t>
  </si>
  <si>
    <t>108.8751044</t>
  </si>
  <si>
    <t>31N</t>
  </si>
  <si>
    <t>G10A.T=28°51</t>
  </si>
  <si>
    <t>11.365581</t>
  </si>
  <si>
    <t>108.8770435</t>
  </si>
  <si>
    <t>11.3683597</t>
  </si>
  <si>
    <t>108.8776517</t>
  </si>
  <si>
    <t>11.3705824</t>
  </si>
  <si>
    <t>108.8782035</t>
  </si>
  <si>
    <t>11.3722782</t>
  </si>
  <si>
    <t>108.8785525</t>
  </si>
  <si>
    <t>11.3758515</t>
  </si>
  <si>
    <t>108.8794124</t>
  </si>
  <si>
    <t>36N</t>
  </si>
  <si>
    <t>G10B.T=56°41</t>
  </si>
  <si>
    <t>11.377606</t>
  </si>
  <si>
    <t>108.8797484</t>
  </si>
  <si>
    <t>11.3793866</t>
  </si>
  <si>
    <t>108.8779982</t>
  </si>
  <si>
    <t>38N</t>
  </si>
  <si>
    <t>G10C.P=35°52'</t>
  </si>
  <si>
    <t>11.3815448</t>
  </si>
  <si>
    <t>108.8759348</t>
  </si>
  <si>
    <t>11.3844121</t>
  </si>
  <si>
    <t>108.8754679</t>
  </si>
  <si>
    <t>11.3874847</t>
  </si>
  <si>
    <t>108.8750103</t>
  </si>
  <si>
    <t>11.3897147</t>
  </si>
  <si>
    <t>108.874651</t>
  </si>
  <si>
    <t>11.3936764</t>
  </si>
  <si>
    <t>108.8740631</t>
  </si>
  <si>
    <t>11.3973326</t>
  </si>
  <si>
    <t>108.8734647</t>
  </si>
  <si>
    <t>44N</t>
  </si>
  <si>
    <t>G11A.T=55°50'</t>
  </si>
  <si>
    <t>11.3993727</t>
  </si>
  <si>
    <t>108.8731921</t>
  </si>
  <si>
    <t>44A</t>
  </si>
  <si>
    <t>Néo</t>
  </si>
  <si>
    <t>11.39944</t>
  </si>
  <si>
    <t>108.87359</t>
  </si>
  <si>
    <t>44B</t>
  </si>
  <si>
    <t>Điểm cuối</t>
  </si>
  <si>
    <t>11.40027</t>
  </si>
  <si>
    <t>108.87612</t>
  </si>
  <si>
    <t>T220QT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</si>
</sst>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98F1-80C7-4C2F-8C79-FC24C8E44FB5}">
  <dimension ref="A1:H49"/>
  <sheetViews>
    <sheetView tabSelected="1" topLeftCell="A43" workbookViewId="0">
      <selection activeCell="D10" sqref="D10"/>
    </sheetView>
  </sheetViews>
  <sheetFormatPr defaultColWidth="8.6640625" defaultRowHeight="15.6" x14ac:dyDescent="0.3"/>
  <cols>
    <col min="1" max="2" width="17" style="4" customWidth="1"/>
    <col min="3" max="3" width="31.109375" style="4" bestFit="1" customWidth="1"/>
    <col min="4" max="6" width="17" style="4" customWidth="1"/>
    <col min="7" max="8" width="14.44140625" style="9" customWidth="1"/>
    <col min="9" max="16384" width="8.6640625" style="4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5" t="s">
        <v>8</v>
      </c>
      <c r="B2" s="1"/>
      <c r="C2" s="5"/>
      <c r="D2" s="5">
        <v>0</v>
      </c>
      <c r="E2" s="5"/>
      <c r="F2" s="5"/>
      <c r="G2" s="6"/>
      <c r="H2" s="6"/>
    </row>
    <row r="3" spans="1:8" x14ac:dyDescent="0.3">
      <c r="A3" s="7" t="s">
        <v>10</v>
      </c>
      <c r="B3" s="5" t="str">
        <f>CONCATENATE(A2,"-",A3)</f>
        <v>T220VT-01N</v>
      </c>
      <c r="C3" s="5" t="s">
        <v>11</v>
      </c>
      <c r="D3" s="8">
        <v>66</v>
      </c>
      <c r="E3" s="5" t="s">
        <v>9</v>
      </c>
      <c r="F3" s="5" t="s">
        <v>12</v>
      </c>
      <c r="G3" s="6" t="s">
        <v>13</v>
      </c>
      <c r="H3" s="6" t="s">
        <v>14</v>
      </c>
    </row>
    <row r="4" spans="1:8" x14ac:dyDescent="0.3">
      <c r="A4" s="7" t="s">
        <v>15</v>
      </c>
      <c r="B4" s="5" t="str">
        <f>CONCATENATE(A3,"-",A4)</f>
        <v>01N-02N</v>
      </c>
      <c r="C4" s="5" t="s">
        <v>16</v>
      </c>
      <c r="D4" s="8">
        <v>243.8</v>
      </c>
      <c r="E4" s="5" t="s">
        <v>9</v>
      </c>
      <c r="F4" s="5" t="s">
        <v>12</v>
      </c>
      <c r="G4" s="6" t="s">
        <v>17</v>
      </c>
      <c r="H4" s="6" t="s">
        <v>18</v>
      </c>
    </row>
    <row r="5" spans="1:8" x14ac:dyDescent="0.3">
      <c r="A5" s="7" t="s">
        <v>19</v>
      </c>
      <c r="B5" s="5" t="str">
        <f t="shared" ref="B5:B49" si="0">CONCATENATE(A4,"-",A5)</f>
        <v>02N-03N</v>
      </c>
      <c r="C5" s="5" t="s">
        <v>20</v>
      </c>
      <c r="D5" s="8">
        <v>237</v>
      </c>
      <c r="E5" s="5" t="s">
        <v>21</v>
      </c>
      <c r="F5" s="5" t="s">
        <v>12</v>
      </c>
      <c r="G5" s="6" t="s">
        <v>22</v>
      </c>
      <c r="H5" s="6" t="s">
        <v>23</v>
      </c>
    </row>
    <row r="6" spans="1:8" x14ac:dyDescent="0.3">
      <c r="A6" s="7" t="s">
        <v>24</v>
      </c>
      <c r="B6" s="5" t="str">
        <f t="shared" si="0"/>
        <v>03N-04N</v>
      </c>
      <c r="C6" s="5" t="s">
        <v>20</v>
      </c>
      <c r="D6" s="8">
        <v>174.83</v>
      </c>
      <c r="E6" s="5" t="s">
        <v>25</v>
      </c>
      <c r="F6" s="5" t="s">
        <v>12</v>
      </c>
      <c r="G6" s="6" t="s">
        <v>26</v>
      </c>
      <c r="H6" s="6" t="s">
        <v>27</v>
      </c>
    </row>
    <row r="7" spans="1:8" x14ac:dyDescent="0.3">
      <c r="A7" s="7" t="s">
        <v>28</v>
      </c>
      <c r="B7" s="5" t="str">
        <f t="shared" si="0"/>
        <v>04N-05N</v>
      </c>
      <c r="C7" s="5" t="s">
        <v>16</v>
      </c>
      <c r="D7" s="8">
        <v>170</v>
      </c>
      <c r="E7" s="5" t="s">
        <v>9</v>
      </c>
      <c r="F7" s="5" t="s">
        <v>12</v>
      </c>
      <c r="G7" s="6" t="s">
        <v>29</v>
      </c>
      <c r="H7" s="6" t="s">
        <v>30</v>
      </c>
    </row>
    <row r="8" spans="1:8" x14ac:dyDescent="0.3">
      <c r="A8" s="7" t="s">
        <v>31</v>
      </c>
      <c r="B8" s="5" t="str">
        <f t="shared" si="0"/>
        <v>05N-06N</v>
      </c>
      <c r="C8" s="5" t="s">
        <v>20</v>
      </c>
      <c r="D8" s="8">
        <v>310</v>
      </c>
      <c r="E8" s="5" t="s">
        <v>32</v>
      </c>
      <c r="F8" s="5" t="s">
        <v>12</v>
      </c>
      <c r="G8" s="6" t="s">
        <v>33</v>
      </c>
      <c r="H8" s="6" t="s">
        <v>34</v>
      </c>
    </row>
    <row r="9" spans="1:8" x14ac:dyDescent="0.3">
      <c r="A9" s="7">
        <v>7</v>
      </c>
      <c r="B9" s="5" t="str">
        <f t="shared" si="0"/>
        <v>06N-7</v>
      </c>
      <c r="C9" s="5" t="s">
        <v>35</v>
      </c>
      <c r="D9" s="8">
        <v>390.01</v>
      </c>
      <c r="E9" s="5" t="s">
        <v>9</v>
      </c>
      <c r="F9" s="5" t="s">
        <v>12</v>
      </c>
      <c r="G9" s="6" t="s">
        <v>36</v>
      </c>
      <c r="H9" s="6" t="s">
        <v>37</v>
      </c>
    </row>
    <row r="10" spans="1:8" x14ac:dyDescent="0.3">
      <c r="A10" s="7">
        <v>8</v>
      </c>
      <c r="B10" s="5" t="str">
        <f t="shared" si="0"/>
        <v>7-8</v>
      </c>
      <c r="C10" s="5" t="s">
        <v>35</v>
      </c>
      <c r="D10" s="8">
        <v>314.99599999999998</v>
      </c>
      <c r="E10" s="5" t="s">
        <v>9</v>
      </c>
      <c r="F10" s="5" t="s">
        <v>12</v>
      </c>
      <c r="G10" s="6" t="s">
        <v>38</v>
      </c>
      <c r="H10" s="6" t="s">
        <v>39</v>
      </c>
    </row>
    <row r="11" spans="1:8" x14ac:dyDescent="0.3">
      <c r="A11" s="7">
        <v>9</v>
      </c>
      <c r="B11" s="5" t="str">
        <f t="shared" si="0"/>
        <v>8-9</v>
      </c>
      <c r="C11" s="5" t="s">
        <v>35</v>
      </c>
      <c r="D11" s="8">
        <v>350.02699999999999</v>
      </c>
      <c r="E11" s="5" t="s">
        <v>9</v>
      </c>
      <c r="F11" s="5" t="s">
        <v>12</v>
      </c>
      <c r="G11" s="6" t="s">
        <v>40</v>
      </c>
      <c r="H11" s="6" t="s">
        <v>41</v>
      </c>
    </row>
    <row r="12" spans="1:8" x14ac:dyDescent="0.3">
      <c r="A12" s="7">
        <v>10</v>
      </c>
      <c r="B12" s="5" t="str">
        <f t="shared" si="0"/>
        <v>9-10</v>
      </c>
      <c r="C12" s="5" t="s">
        <v>35</v>
      </c>
      <c r="D12" s="8">
        <v>318.99599999999998</v>
      </c>
      <c r="E12" s="5" t="s">
        <v>9</v>
      </c>
      <c r="F12" s="5" t="s">
        <v>12</v>
      </c>
      <c r="G12" s="6" t="s">
        <v>42</v>
      </c>
      <c r="H12" s="6" t="s">
        <v>43</v>
      </c>
    </row>
    <row r="13" spans="1:8" x14ac:dyDescent="0.3">
      <c r="A13" s="7">
        <v>11</v>
      </c>
      <c r="B13" s="5" t="str">
        <f t="shared" si="0"/>
        <v>10-11</v>
      </c>
      <c r="C13" s="5" t="s">
        <v>35</v>
      </c>
      <c r="D13" s="8">
        <v>265.995</v>
      </c>
      <c r="E13" s="5" t="s">
        <v>9</v>
      </c>
      <c r="F13" s="5" t="s">
        <v>12</v>
      </c>
      <c r="G13" s="6" t="s">
        <v>44</v>
      </c>
      <c r="H13" s="6" t="s">
        <v>45</v>
      </c>
    </row>
    <row r="14" spans="1:8" x14ac:dyDescent="0.3">
      <c r="A14" s="7" t="s">
        <v>46</v>
      </c>
      <c r="B14" s="5" t="str">
        <f t="shared" si="0"/>
        <v>11-12N</v>
      </c>
      <c r="C14" s="5" t="s">
        <v>20</v>
      </c>
      <c r="D14" s="8">
        <v>602.39200000000005</v>
      </c>
      <c r="E14" s="5" t="s">
        <v>47</v>
      </c>
      <c r="F14" s="5" t="s">
        <v>12</v>
      </c>
      <c r="G14" s="6" t="s">
        <v>48</v>
      </c>
      <c r="H14" s="6" t="s">
        <v>49</v>
      </c>
    </row>
    <row r="15" spans="1:8" x14ac:dyDescent="0.3">
      <c r="A15" s="7">
        <v>13</v>
      </c>
      <c r="B15" s="5" t="str">
        <f t="shared" si="0"/>
        <v>12N-13</v>
      </c>
      <c r="C15" s="5" t="s">
        <v>35</v>
      </c>
      <c r="D15" s="8">
        <v>243.999</v>
      </c>
      <c r="E15" s="5" t="s">
        <v>9</v>
      </c>
      <c r="F15" s="5" t="s">
        <v>12</v>
      </c>
      <c r="G15" s="6" t="s">
        <v>50</v>
      </c>
      <c r="H15" s="6" t="s">
        <v>51</v>
      </c>
    </row>
    <row r="16" spans="1:8" x14ac:dyDescent="0.3">
      <c r="A16" s="7">
        <v>14</v>
      </c>
      <c r="B16" s="5" t="str">
        <f t="shared" si="0"/>
        <v>13-14</v>
      </c>
      <c r="C16" s="5" t="s">
        <v>35</v>
      </c>
      <c r="D16" s="8">
        <v>489.19799999999998</v>
      </c>
      <c r="E16" s="5" t="s">
        <v>9</v>
      </c>
      <c r="F16" s="5" t="s">
        <v>12</v>
      </c>
      <c r="G16" s="6" t="s">
        <v>52</v>
      </c>
      <c r="H16" s="6" t="s">
        <v>53</v>
      </c>
    </row>
    <row r="17" spans="1:8" x14ac:dyDescent="0.3">
      <c r="A17" s="7" t="s">
        <v>54</v>
      </c>
      <c r="B17" s="5" t="str">
        <f t="shared" si="0"/>
        <v>14-15N</v>
      </c>
      <c r="C17" s="5" t="s">
        <v>20</v>
      </c>
      <c r="D17" s="8">
        <v>186.34800000000001</v>
      </c>
      <c r="E17" s="5" t="s">
        <v>55</v>
      </c>
      <c r="F17" s="5" t="s">
        <v>12</v>
      </c>
      <c r="G17" s="6" t="s">
        <v>56</v>
      </c>
      <c r="H17" s="6" t="s">
        <v>57</v>
      </c>
    </row>
    <row r="18" spans="1:8" x14ac:dyDescent="0.3">
      <c r="A18" s="7" t="s">
        <v>58</v>
      </c>
      <c r="B18" s="5" t="str">
        <f t="shared" si="0"/>
        <v>15N-16N</v>
      </c>
      <c r="C18" s="5" t="s">
        <v>20</v>
      </c>
      <c r="D18" s="8">
        <v>196.809</v>
      </c>
      <c r="E18" s="5" t="s">
        <v>59</v>
      </c>
      <c r="F18" s="5" t="s">
        <v>12</v>
      </c>
      <c r="G18" s="6" t="s">
        <v>60</v>
      </c>
      <c r="H18" s="6" t="s">
        <v>61</v>
      </c>
    </row>
    <row r="19" spans="1:8" x14ac:dyDescent="0.3">
      <c r="A19" s="7">
        <v>17</v>
      </c>
      <c r="B19" s="5" t="str">
        <f t="shared" si="0"/>
        <v>16N-17</v>
      </c>
      <c r="C19" s="5" t="s">
        <v>35</v>
      </c>
      <c r="D19" s="8">
        <v>861.798</v>
      </c>
      <c r="E19" s="5" t="s">
        <v>9</v>
      </c>
      <c r="F19" s="5" t="s">
        <v>12</v>
      </c>
      <c r="G19" s="6" t="s">
        <v>62</v>
      </c>
      <c r="H19" s="6" t="s">
        <v>63</v>
      </c>
    </row>
    <row r="20" spans="1:8" x14ac:dyDescent="0.3">
      <c r="A20" s="7" t="s">
        <v>64</v>
      </c>
      <c r="B20" s="5" t="str">
        <f t="shared" si="0"/>
        <v>17-18N</v>
      </c>
      <c r="C20" s="5" t="s">
        <v>20</v>
      </c>
      <c r="D20" s="8">
        <v>123.69799999999999</v>
      </c>
      <c r="E20" s="5" t="s">
        <v>65</v>
      </c>
      <c r="F20" s="5" t="s">
        <v>12</v>
      </c>
      <c r="G20" s="6" t="s">
        <v>66</v>
      </c>
      <c r="H20" s="6" t="s">
        <v>67</v>
      </c>
    </row>
    <row r="21" spans="1:8" x14ac:dyDescent="0.3">
      <c r="A21" s="7">
        <v>19</v>
      </c>
      <c r="B21" s="5" t="str">
        <f t="shared" si="0"/>
        <v>18N-19</v>
      </c>
      <c r="C21" s="5" t="s">
        <v>35</v>
      </c>
      <c r="D21" s="8">
        <v>250.69300000000001</v>
      </c>
      <c r="E21" s="5" t="s">
        <v>9</v>
      </c>
      <c r="F21" s="5" t="s">
        <v>12</v>
      </c>
      <c r="G21" s="6" t="s">
        <v>68</v>
      </c>
      <c r="H21" s="6" t="s">
        <v>69</v>
      </c>
    </row>
    <row r="22" spans="1:8" x14ac:dyDescent="0.3">
      <c r="A22" s="7">
        <v>20</v>
      </c>
      <c r="B22" s="5" t="str">
        <f t="shared" si="0"/>
        <v>19-20</v>
      </c>
      <c r="C22" s="5" t="s">
        <v>35</v>
      </c>
      <c r="D22" s="8">
        <v>249.99299999999999</v>
      </c>
      <c r="E22" s="5" t="s">
        <v>9</v>
      </c>
      <c r="F22" s="5" t="s">
        <v>12</v>
      </c>
      <c r="G22" s="6" t="s">
        <v>70</v>
      </c>
      <c r="H22" s="6" t="s">
        <v>71</v>
      </c>
    </row>
    <row r="23" spans="1:8" x14ac:dyDescent="0.3">
      <c r="A23" s="7" t="s">
        <v>72</v>
      </c>
      <c r="B23" s="5" t="str">
        <f t="shared" si="0"/>
        <v>20-21N</v>
      </c>
      <c r="C23" s="5" t="s">
        <v>16</v>
      </c>
      <c r="D23" s="8">
        <v>557.04100000000005</v>
      </c>
      <c r="E23" s="5" t="s">
        <v>73</v>
      </c>
      <c r="F23" s="5" t="s">
        <v>12</v>
      </c>
      <c r="G23" s="6" t="s">
        <v>74</v>
      </c>
      <c r="H23" s="6" t="s">
        <v>75</v>
      </c>
    </row>
    <row r="24" spans="1:8" x14ac:dyDescent="0.3">
      <c r="A24" s="7">
        <v>22</v>
      </c>
      <c r="B24" s="5" t="str">
        <f t="shared" si="0"/>
        <v>21N-22</v>
      </c>
      <c r="C24" s="5" t="s">
        <v>35</v>
      </c>
      <c r="D24" s="8">
        <v>518.86199999999997</v>
      </c>
      <c r="E24" s="5" t="s">
        <v>9</v>
      </c>
      <c r="F24" s="5" t="s">
        <v>12</v>
      </c>
      <c r="G24" s="6" t="s">
        <v>76</v>
      </c>
      <c r="H24" s="6" t="s">
        <v>77</v>
      </c>
    </row>
    <row r="25" spans="1:8" x14ac:dyDescent="0.3">
      <c r="A25" s="7">
        <v>23</v>
      </c>
      <c r="B25" s="5" t="str">
        <f t="shared" si="0"/>
        <v>22-23</v>
      </c>
      <c r="C25" s="5" t="s">
        <v>35</v>
      </c>
      <c r="D25" s="8">
        <v>302</v>
      </c>
      <c r="E25" s="5" t="s">
        <v>9</v>
      </c>
      <c r="F25" s="5" t="s">
        <v>12</v>
      </c>
      <c r="G25" s="6" t="s">
        <v>78</v>
      </c>
      <c r="H25" s="6" t="s">
        <v>79</v>
      </c>
    </row>
    <row r="26" spans="1:8" x14ac:dyDescent="0.3">
      <c r="A26" s="7" t="s">
        <v>80</v>
      </c>
      <c r="B26" s="5" t="str">
        <f t="shared" si="0"/>
        <v>23-24N</v>
      </c>
      <c r="C26" s="5" t="s">
        <v>20</v>
      </c>
      <c r="D26" s="8">
        <v>105.001</v>
      </c>
      <c r="E26" s="5" t="s">
        <v>81</v>
      </c>
      <c r="F26" s="5" t="s">
        <v>12</v>
      </c>
      <c r="G26" s="6" t="s">
        <v>82</v>
      </c>
      <c r="H26" s="6" t="s">
        <v>83</v>
      </c>
    </row>
    <row r="27" spans="1:8" x14ac:dyDescent="0.3">
      <c r="A27" s="7">
        <v>25</v>
      </c>
      <c r="B27" s="5" t="str">
        <f t="shared" si="0"/>
        <v>24N-25</v>
      </c>
      <c r="C27" s="5" t="s">
        <v>35</v>
      </c>
      <c r="D27" s="8">
        <v>556.83500000000004</v>
      </c>
      <c r="E27" s="5" t="s">
        <v>9</v>
      </c>
      <c r="F27" s="5" t="s">
        <v>12</v>
      </c>
      <c r="G27" s="6" t="s">
        <v>84</v>
      </c>
      <c r="H27" s="6" t="s">
        <v>85</v>
      </c>
    </row>
    <row r="28" spans="1:8" x14ac:dyDescent="0.3">
      <c r="A28" s="7">
        <v>26</v>
      </c>
      <c r="B28" s="5" t="str">
        <f t="shared" si="0"/>
        <v>25-26</v>
      </c>
      <c r="C28" s="5" t="s">
        <v>35</v>
      </c>
      <c r="D28" s="8">
        <v>337</v>
      </c>
      <c r="E28" s="5" t="s">
        <v>9</v>
      </c>
      <c r="F28" s="5" t="s">
        <v>12</v>
      </c>
      <c r="G28" s="6" t="s">
        <v>86</v>
      </c>
      <c r="H28" s="6" t="s">
        <v>87</v>
      </c>
    </row>
    <row r="29" spans="1:8" x14ac:dyDescent="0.3">
      <c r="A29" s="7">
        <v>27</v>
      </c>
      <c r="B29" s="5" t="str">
        <f t="shared" si="0"/>
        <v>26-27</v>
      </c>
      <c r="C29" s="5" t="s">
        <v>35</v>
      </c>
      <c r="D29" s="8">
        <v>740.00099999999998</v>
      </c>
      <c r="E29" s="5" t="s">
        <v>9</v>
      </c>
      <c r="F29" s="5" t="s">
        <v>12</v>
      </c>
      <c r="G29" s="6" t="s">
        <v>88</v>
      </c>
      <c r="H29" s="6" t="s">
        <v>89</v>
      </c>
    </row>
    <row r="30" spans="1:8" x14ac:dyDescent="0.3">
      <c r="A30" s="7" t="s">
        <v>90</v>
      </c>
      <c r="B30" s="5" t="str">
        <f t="shared" si="0"/>
        <v>27-28N</v>
      </c>
      <c r="C30" s="5" t="s">
        <v>20</v>
      </c>
      <c r="D30" s="8">
        <v>399.99299999999999</v>
      </c>
      <c r="E30" s="5" t="s">
        <v>91</v>
      </c>
      <c r="F30" s="5" t="s">
        <v>12</v>
      </c>
      <c r="G30" s="6" t="s">
        <v>92</v>
      </c>
      <c r="H30" s="6" t="s">
        <v>93</v>
      </c>
    </row>
    <row r="31" spans="1:8" x14ac:dyDescent="0.3">
      <c r="A31" s="7">
        <v>29</v>
      </c>
      <c r="B31" s="5" t="str">
        <f t="shared" si="0"/>
        <v>28N-29</v>
      </c>
      <c r="C31" s="5" t="s">
        <v>35</v>
      </c>
      <c r="D31" s="8">
        <v>547</v>
      </c>
      <c r="E31" s="5" t="s">
        <v>9</v>
      </c>
      <c r="F31" s="5" t="s">
        <v>12</v>
      </c>
      <c r="G31" s="6" t="s">
        <v>94</v>
      </c>
      <c r="H31" s="6" t="s">
        <v>95</v>
      </c>
    </row>
    <row r="32" spans="1:8" x14ac:dyDescent="0.3">
      <c r="A32" s="7">
        <v>30</v>
      </c>
      <c r="B32" s="5" t="str">
        <f t="shared" si="0"/>
        <v>29-30</v>
      </c>
      <c r="C32" s="5" t="s">
        <v>35</v>
      </c>
      <c r="D32" s="8">
        <v>350</v>
      </c>
      <c r="E32" s="5" t="s">
        <v>9</v>
      </c>
      <c r="F32" s="5" t="s">
        <v>12</v>
      </c>
      <c r="G32" s="6" t="s">
        <v>96</v>
      </c>
      <c r="H32" s="6" t="s">
        <v>97</v>
      </c>
    </row>
    <row r="33" spans="1:8" x14ac:dyDescent="0.3">
      <c r="A33" s="7" t="s">
        <v>98</v>
      </c>
      <c r="B33" s="5" t="str">
        <f t="shared" si="0"/>
        <v>30-31N</v>
      </c>
      <c r="C33" s="5" t="s">
        <v>20</v>
      </c>
      <c r="D33" s="8">
        <v>311</v>
      </c>
      <c r="E33" s="5" t="s">
        <v>99</v>
      </c>
      <c r="F33" s="5" t="s">
        <v>12</v>
      </c>
      <c r="G33" s="6" t="s">
        <v>100</v>
      </c>
      <c r="H33" s="6" t="s">
        <v>101</v>
      </c>
    </row>
    <row r="34" spans="1:8" x14ac:dyDescent="0.3">
      <c r="A34" s="7">
        <v>32</v>
      </c>
      <c r="B34" s="5" t="str">
        <f t="shared" si="0"/>
        <v>31N-32</v>
      </c>
      <c r="C34" s="5" t="s">
        <v>35</v>
      </c>
      <c r="D34" s="8">
        <v>307</v>
      </c>
      <c r="E34" s="5" t="s">
        <v>9</v>
      </c>
      <c r="F34" s="5" t="s">
        <v>12</v>
      </c>
      <c r="G34" s="6" t="s">
        <v>102</v>
      </c>
      <c r="H34" s="6" t="s">
        <v>103</v>
      </c>
    </row>
    <row r="35" spans="1:8" x14ac:dyDescent="0.3">
      <c r="A35" s="7">
        <v>33</v>
      </c>
      <c r="B35" s="5" t="str">
        <f t="shared" si="0"/>
        <v>32-33</v>
      </c>
      <c r="C35" s="5" t="s">
        <v>35</v>
      </c>
      <c r="D35" s="8">
        <v>258</v>
      </c>
      <c r="E35" s="5" t="s">
        <v>9</v>
      </c>
      <c r="F35" s="5" t="s">
        <v>12</v>
      </c>
      <c r="G35" s="6" t="s">
        <v>104</v>
      </c>
      <c r="H35" s="6" t="s">
        <v>105</v>
      </c>
    </row>
    <row r="36" spans="1:8" x14ac:dyDescent="0.3">
      <c r="A36" s="7">
        <v>34</v>
      </c>
      <c r="B36" s="5" t="str">
        <f t="shared" si="0"/>
        <v>33-34</v>
      </c>
      <c r="C36" s="5" t="s">
        <v>35</v>
      </c>
      <c r="D36" s="8">
        <v>200</v>
      </c>
      <c r="E36" s="5" t="s">
        <v>9</v>
      </c>
      <c r="F36" s="5" t="s">
        <v>12</v>
      </c>
      <c r="G36" s="6" t="s">
        <v>106</v>
      </c>
      <c r="H36" s="6" t="s">
        <v>107</v>
      </c>
    </row>
    <row r="37" spans="1:8" x14ac:dyDescent="0.3">
      <c r="A37" s="7">
        <v>35</v>
      </c>
      <c r="B37" s="5" t="str">
        <f t="shared" si="0"/>
        <v>34-35</v>
      </c>
      <c r="C37" s="5" t="s">
        <v>35</v>
      </c>
      <c r="D37" s="8">
        <v>399</v>
      </c>
      <c r="E37" s="5" t="s">
        <v>9</v>
      </c>
      <c r="F37" s="5" t="s">
        <v>12</v>
      </c>
      <c r="G37" s="6" t="s">
        <v>108</v>
      </c>
      <c r="H37" s="6" t="s">
        <v>109</v>
      </c>
    </row>
    <row r="38" spans="1:8" x14ac:dyDescent="0.3">
      <c r="A38" s="7" t="s">
        <v>110</v>
      </c>
      <c r="B38" s="5" t="str">
        <f t="shared" si="0"/>
        <v>35-36N</v>
      </c>
      <c r="C38" s="5" t="s">
        <v>20</v>
      </c>
      <c r="D38" s="8">
        <v>204</v>
      </c>
      <c r="E38" s="5" t="s">
        <v>111</v>
      </c>
      <c r="F38" s="5" t="s">
        <v>12</v>
      </c>
      <c r="G38" s="6" t="s">
        <v>112</v>
      </c>
      <c r="H38" s="6" t="s">
        <v>113</v>
      </c>
    </row>
    <row r="39" spans="1:8" x14ac:dyDescent="0.3">
      <c r="A39" s="7">
        <v>37</v>
      </c>
      <c r="B39" s="5" t="str">
        <f t="shared" si="0"/>
        <v>36N-37</v>
      </c>
      <c r="C39" s="5" t="s">
        <v>35</v>
      </c>
      <c r="D39" s="8">
        <v>275</v>
      </c>
      <c r="E39" s="5" t="s">
        <v>9</v>
      </c>
      <c r="F39" s="5" t="s">
        <v>12</v>
      </c>
      <c r="G39" s="6" t="s">
        <v>114</v>
      </c>
      <c r="H39" s="6" t="s">
        <v>115</v>
      </c>
    </row>
    <row r="40" spans="1:8" x14ac:dyDescent="0.3">
      <c r="A40" s="7" t="s">
        <v>116</v>
      </c>
      <c r="B40" s="5" t="str">
        <f t="shared" si="0"/>
        <v>37-38N</v>
      </c>
      <c r="C40" s="5" t="s">
        <v>20</v>
      </c>
      <c r="D40" s="8">
        <v>325</v>
      </c>
      <c r="E40" s="5" t="s">
        <v>117</v>
      </c>
      <c r="F40" s="5" t="s">
        <v>12</v>
      </c>
      <c r="G40" s="6" t="s">
        <v>118</v>
      </c>
      <c r="H40" s="6" t="s">
        <v>119</v>
      </c>
    </row>
    <row r="41" spans="1:8" x14ac:dyDescent="0.3">
      <c r="A41" s="7">
        <v>39</v>
      </c>
      <c r="B41" s="5" t="str">
        <f t="shared" si="0"/>
        <v>38N-39</v>
      </c>
      <c r="C41" s="5" t="s">
        <v>35</v>
      </c>
      <c r="D41" s="8">
        <v>320</v>
      </c>
      <c r="E41" s="5" t="s">
        <v>9</v>
      </c>
      <c r="F41" s="5" t="s">
        <v>12</v>
      </c>
      <c r="G41" s="6" t="s">
        <v>120</v>
      </c>
      <c r="H41" s="6" t="s">
        <v>121</v>
      </c>
    </row>
    <row r="42" spans="1:8" x14ac:dyDescent="0.3">
      <c r="A42" s="7">
        <v>40</v>
      </c>
      <c r="B42" s="5" t="str">
        <f t="shared" si="0"/>
        <v>39-40</v>
      </c>
      <c r="C42" s="5" t="s">
        <v>35</v>
      </c>
      <c r="D42" s="8">
        <v>345</v>
      </c>
      <c r="E42" s="5" t="s">
        <v>9</v>
      </c>
      <c r="F42" s="5" t="s">
        <v>12</v>
      </c>
      <c r="G42" s="6" t="s">
        <v>122</v>
      </c>
      <c r="H42" s="6" t="s">
        <v>123</v>
      </c>
    </row>
    <row r="43" spans="1:8" x14ac:dyDescent="0.3">
      <c r="A43" s="7">
        <v>41</v>
      </c>
      <c r="B43" s="5" t="str">
        <f t="shared" si="0"/>
        <v>40-41</v>
      </c>
      <c r="C43" s="5" t="s">
        <v>35</v>
      </c>
      <c r="D43" s="8">
        <v>251</v>
      </c>
      <c r="E43" s="5" t="s">
        <v>9</v>
      </c>
      <c r="F43" s="5" t="s">
        <v>12</v>
      </c>
      <c r="G43" s="6" t="s">
        <v>124</v>
      </c>
      <c r="H43" s="6" t="s">
        <v>125</v>
      </c>
    </row>
    <row r="44" spans="1:8" x14ac:dyDescent="0.3">
      <c r="A44" s="7">
        <v>42</v>
      </c>
      <c r="B44" s="5" t="str">
        <f t="shared" si="0"/>
        <v>41-42</v>
      </c>
      <c r="C44" s="5" t="s">
        <v>35</v>
      </c>
      <c r="D44" s="8">
        <v>444</v>
      </c>
      <c r="E44" s="5" t="s">
        <v>9</v>
      </c>
      <c r="F44" s="5" t="s">
        <v>12</v>
      </c>
      <c r="G44" s="6" t="s">
        <v>126</v>
      </c>
      <c r="H44" s="6" t="s">
        <v>127</v>
      </c>
    </row>
    <row r="45" spans="1:8" x14ac:dyDescent="0.3">
      <c r="A45" s="7">
        <v>43</v>
      </c>
      <c r="B45" s="5" t="str">
        <f t="shared" si="0"/>
        <v>42-43</v>
      </c>
      <c r="C45" s="5" t="s">
        <v>35</v>
      </c>
      <c r="D45" s="8">
        <v>409</v>
      </c>
      <c r="E45" s="5" t="s">
        <v>9</v>
      </c>
      <c r="F45" s="5" t="s">
        <v>12</v>
      </c>
      <c r="G45" s="6" t="s">
        <v>128</v>
      </c>
      <c r="H45" s="6" t="s">
        <v>129</v>
      </c>
    </row>
    <row r="46" spans="1:8" x14ac:dyDescent="0.3">
      <c r="A46" s="7" t="s">
        <v>130</v>
      </c>
      <c r="B46" s="5" t="str">
        <f t="shared" si="0"/>
        <v>43-44N</v>
      </c>
      <c r="C46" s="5" t="s">
        <v>20</v>
      </c>
      <c r="D46" s="8">
        <v>223</v>
      </c>
      <c r="E46" s="5" t="s">
        <v>131</v>
      </c>
      <c r="F46" s="5" t="s">
        <v>12</v>
      </c>
      <c r="G46" s="6" t="s">
        <v>132</v>
      </c>
      <c r="H46" s="6" t="s">
        <v>133</v>
      </c>
    </row>
    <row r="47" spans="1:8" x14ac:dyDescent="0.3">
      <c r="A47" s="5" t="s">
        <v>134</v>
      </c>
      <c r="B47" s="5" t="str">
        <f t="shared" si="0"/>
        <v>44N-44A</v>
      </c>
      <c r="C47" s="5" t="s">
        <v>135</v>
      </c>
      <c r="D47" s="5">
        <v>47</v>
      </c>
      <c r="E47" s="5"/>
      <c r="F47" s="5" t="s">
        <v>12</v>
      </c>
      <c r="G47" s="6" t="s">
        <v>136</v>
      </c>
      <c r="H47" s="6" t="s">
        <v>137</v>
      </c>
    </row>
    <row r="48" spans="1:8" x14ac:dyDescent="0.3">
      <c r="A48" s="5" t="s">
        <v>138</v>
      </c>
      <c r="B48" s="5" t="str">
        <f t="shared" si="0"/>
        <v>44A-44B</v>
      </c>
      <c r="C48" s="5" t="s">
        <v>139</v>
      </c>
      <c r="D48" s="5">
        <v>290</v>
      </c>
      <c r="E48" s="5"/>
      <c r="F48" s="5" t="s">
        <v>12</v>
      </c>
      <c r="G48" s="6" t="s">
        <v>140</v>
      </c>
      <c r="H48" s="6" t="s">
        <v>141</v>
      </c>
    </row>
    <row r="49" spans="1:8" x14ac:dyDescent="0.3">
      <c r="A49" s="5" t="s">
        <v>142</v>
      </c>
      <c r="B49" s="5" t="str">
        <f t="shared" si="0"/>
        <v>44B-T220QT</v>
      </c>
      <c r="C49" s="5"/>
      <c r="D49" s="5">
        <v>55</v>
      </c>
      <c r="E49" s="5"/>
      <c r="F49" s="5"/>
      <c r="G49" s="6"/>
      <c r="H49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270VT-273QT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2026-04-02T04:34:38Z</dcterms:created>
  <dcterms:modified xsi:type="dcterms:W3CDTF">2026-04-02T05:32:09Z</dcterms:modified>
</cp:coreProperties>
</file>