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66BD8F08-4EEA-4D18-8605-F6433308D7E4}" xr6:coauthVersionLast="47" xr6:coauthVersionMax="47" xr10:uidLastSave="{00000000-0000-0000-0000-000000000000}"/>
  <bookViews>
    <workbookView xWindow="-108" yWindow="-108" windowWidth="23256" windowHeight="12456" xr2:uid="{CC03E4E9-9614-4D86-A14D-8FD2218EE5BF}"/>
  </bookViews>
  <sheets>
    <sheet name="274QT-274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<sst xmlns="http://schemas.openxmlformats.org/spreadsheetml/2006/main" count="118" uniqueCount="56">
  <si>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</si>
  <si>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</si>
  <si>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</si>
  <si>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</si>
  <si>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</si>
  <si>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</si>
  <si>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</si>
  <si>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</si>
  <si>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T220QT</t>
  </si>
  <si>
    <t>44B</t>
  </si>
  <si>
    <t>Điểm đầu</t>
  </si>
  <si>
    <t>ACB</t>
  </si>
  <si>
    <t>11.40027</t>
  </si>
  <si>
    <t>108.87612</t>
  </si>
  <si>
    <t>44A</t>
  </si>
  <si>
    <t>Néo</t>
  </si>
  <si>
    <t>G11A.T=55°50'</t>
  </si>
  <si>
    <t>11.39944</t>
  </si>
  <si>
    <t>108.87359</t>
  </si>
  <si>
    <t>44N</t>
  </si>
  <si>
    <t>Néo góc</t>
  </si>
  <si>
    <t>0°</t>
  </si>
  <si>
    <t>Đỡ</t>
  </si>
  <si>
    <t>G12.P=31°56'</t>
  </si>
  <si>
    <t>51N</t>
  </si>
  <si>
    <t>52N</t>
  </si>
  <si>
    <t>Néo thẳng</t>
  </si>
  <si>
    <t>G12A.T=8°8'</t>
  </si>
  <si>
    <t>58N</t>
  </si>
  <si>
    <t>G12B.P=17°24'</t>
  </si>
  <si>
    <t>59N</t>
  </si>
  <si>
    <t>G6.P=1°32'</t>
  </si>
  <si>
    <t>59/01</t>
  </si>
  <si>
    <t>-</t>
  </si>
  <si>
    <t>11.43648</t>
  </si>
  <si>
    <t>108.83052</t>
  </si>
  <si>
    <t>59/02</t>
  </si>
  <si>
    <t>11.43628</t>
  </si>
  <si>
    <t>108.83283</t>
  </si>
  <si>
    <t>59/03</t>
  </si>
  <si>
    <t>11.43582</t>
  </si>
  <si>
    <t>108.83867</t>
  </si>
  <si>
    <t>59/04</t>
  </si>
  <si>
    <t>11.43555</t>
  </si>
  <si>
    <t>108.84205</t>
  </si>
  <si>
    <t>59/05</t>
  </si>
  <si>
    <t>11.43461</t>
  </si>
  <si>
    <t>108.84388</t>
  </si>
  <si>
    <t>59/06</t>
  </si>
  <si>
    <t>11.43408</t>
  </si>
  <si>
    <t>108.84476</t>
  </si>
  <si>
    <t>59/07A</t>
  </si>
  <si>
    <t>Điểm cuối</t>
  </si>
  <si>
    <t>11.43311</t>
  </si>
  <si>
    <t>108.84521</t>
  </si>
  <si>
    <t>T220TN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</si>
</sst>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3489-2782-4A58-8290-F7AE2634574B}">
  <dimension ref="A1:H28"/>
  <sheetViews>
    <sheetView tabSelected="1" topLeftCell="A16" zoomScale="85" zoomScaleNormal="85" workbookViewId="0">
      <selection activeCell="C30" sqref="C30"/>
    </sheetView>
  </sheetViews>
  <sheetFormatPr defaultColWidth="8.6640625" defaultRowHeight="15.6" x14ac:dyDescent="0.3"/>
  <cols>
    <col min="1" max="2" width="17" style="4" customWidth="1"/>
    <col min="3" max="3" width="15.10937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6">
        <v>0</v>
      </c>
      <c r="E2" s="5"/>
      <c r="F2" s="5"/>
      <c r="G2" s="7"/>
      <c r="H2" s="7"/>
    </row>
    <row r="3" spans="1:8" x14ac:dyDescent="0.3">
      <c r="A3" s="5" t="s">
        <v>9</v>
      </c>
      <c r="B3" s="5" t="str">
        <f t="shared" ref="B3:B27" si="0">CONCATENATE(A2,"-",A3)</f>
        <v>T220QT-44B</v>
      </c>
      <c r="C3" s="5" t="s">
        <v>10</v>
      </c>
      <c r="D3" s="6">
        <v>345</v>
      </c>
      <c r="E3" s="5"/>
      <c r="F3" s="5" t="s">
        <v>11</v>
      </c>
      <c r="G3" s="7" t="s">
        <v>12</v>
      </c>
      <c r="H3" s="7" t="s">
        <v>13</v>
      </c>
    </row>
    <row r="4" spans="1:8" x14ac:dyDescent="0.3">
      <c r="A4" s="5" t="s">
        <v>14</v>
      </c>
      <c r="B4" s="5" t="str">
        <f t="shared" si="0"/>
        <v>44B-44A</v>
      </c>
      <c r="C4" s="5" t="s">
        <v>15</v>
      </c>
      <c r="D4" s="6">
        <v>95</v>
      </c>
      <c r="E4" s="5" t="s">
        <v>16</v>
      </c>
      <c r="F4" s="5" t="s">
        <v>11</v>
      </c>
      <c r="G4" s="7" t="s">
        <v>17</v>
      </c>
      <c r="H4" s="7" t="s">
        <v>18</v>
      </c>
    </row>
    <row r="5" spans="1:8" x14ac:dyDescent="0.3">
      <c r="A5" s="8" t="s">
        <v>19</v>
      </c>
      <c r="B5" s="5" t="str">
        <f t="shared" si="0"/>
        <v>44A-44N</v>
      </c>
      <c r="C5" s="5" t="s">
        <v>20</v>
      </c>
      <c r="D5" s="6">
        <v>223</v>
      </c>
      <c r="E5" s="5" t="s">
        <v>21</v>
      </c>
      <c r="F5" s="5" t="s">
        <v>11</v>
      </c>
      <c r="G5" s="9">
        <v>11.399372700000001</v>
      </c>
      <c r="H5" s="9">
        <v>108.8731921</v>
      </c>
    </row>
    <row r="6" spans="1:8" x14ac:dyDescent="0.3">
      <c r="A6" s="8">
        <v>45</v>
      </c>
      <c r="B6" s="5" t="str">
        <f t="shared" si="0"/>
        <v>44N-45</v>
      </c>
      <c r="C6" s="5" t="s">
        <v>22</v>
      </c>
      <c r="D6" s="6">
        <v>350</v>
      </c>
      <c r="E6" s="5" t="s">
        <v>21</v>
      </c>
      <c r="F6" s="5" t="s">
        <v>11</v>
      </c>
      <c r="G6" s="9">
        <v>11.400651099999999</v>
      </c>
      <c r="H6" s="9">
        <v>108.87022899999999</v>
      </c>
    </row>
    <row r="7" spans="1:8" x14ac:dyDescent="0.3">
      <c r="A7" s="8">
        <v>46</v>
      </c>
      <c r="B7" s="5" t="str">
        <f t="shared" si="0"/>
        <v>45-46</v>
      </c>
      <c r="C7" s="5" t="s">
        <v>22</v>
      </c>
      <c r="D7" s="6">
        <v>420</v>
      </c>
      <c r="E7" s="5" t="s">
        <v>21</v>
      </c>
      <c r="F7" s="5" t="s">
        <v>11</v>
      </c>
      <c r="G7" s="9">
        <v>11.4022586</v>
      </c>
      <c r="H7" s="9">
        <v>108.86675940000001</v>
      </c>
    </row>
    <row r="8" spans="1:8" x14ac:dyDescent="0.3">
      <c r="A8" s="8">
        <v>47</v>
      </c>
      <c r="B8" s="5" t="str">
        <f t="shared" si="0"/>
        <v>46-47</v>
      </c>
      <c r="C8" s="5" t="s">
        <v>22</v>
      </c>
      <c r="D8" s="6">
        <v>408</v>
      </c>
      <c r="E8" s="5" t="s">
        <v>21</v>
      </c>
      <c r="F8" s="5" t="s">
        <v>11</v>
      </c>
      <c r="G8" s="9">
        <v>11.4038626</v>
      </c>
      <c r="H8" s="9">
        <v>108.86338139999999</v>
      </c>
    </row>
    <row r="9" spans="1:8" x14ac:dyDescent="0.3">
      <c r="A9" s="8">
        <v>48</v>
      </c>
      <c r="B9" s="5" t="str">
        <f t="shared" si="0"/>
        <v>47-48</v>
      </c>
      <c r="C9" s="5" t="s">
        <v>22</v>
      </c>
      <c r="D9" s="6">
        <v>420</v>
      </c>
      <c r="E9" s="5" t="s">
        <v>21</v>
      </c>
      <c r="F9" s="5" t="s">
        <v>11</v>
      </c>
      <c r="G9" s="9">
        <v>11.405519699999999</v>
      </c>
      <c r="H9" s="9">
        <v>108.85991559999999</v>
      </c>
    </row>
    <row r="10" spans="1:8" x14ac:dyDescent="0.3">
      <c r="A10" s="8">
        <v>49</v>
      </c>
      <c r="B10" s="5" t="str">
        <f t="shared" si="0"/>
        <v>48-49</v>
      </c>
      <c r="C10" s="5" t="s">
        <v>22</v>
      </c>
      <c r="D10" s="6">
        <v>365</v>
      </c>
      <c r="E10" s="5" t="s">
        <v>21</v>
      </c>
      <c r="F10" s="5" t="s">
        <v>11</v>
      </c>
      <c r="G10" s="9">
        <v>11.406928199999999</v>
      </c>
      <c r="H10" s="9">
        <v>108.8569586</v>
      </c>
    </row>
    <row r="11" spans="1:8" x14ac:dyDescent="0.3">
      <c r="A11" s="8">
        <v>50</v>
      </c>
      <c r="B11" s="5" t="str">
        <f t="shared" si="0"/>
        <v>49-50</v>
      </c>
      <c r="C11" s="5" t="s">
        <v>22</v>
      </c>
      <c r="D11" s="6">
        <v>633</v>
      </c>
      <c r="E11" s="5" t="s">
        <v>23</v>
      </c>
      <c r="F11" s="5" t="s">
        <v>11</v>
      </c>
      <c r="G11" s="9">
        <v>11.409348700000001</v>
      </c>
      <c r="H11" s="9">
        <v>108.8516642</v>
      </c>
    </row>
    <row r="12" spans="1:8" x14ac:dyDescent="0.3">
      <c r="A12" s="8" t="s">
        <v>24</v>
      </c>
      <c r="B12" s="5" t="str">
        <f t="shared" si="0"/>
        <v>50-51N</v>
      </c>
      <c r="C12" s="5" t="s">
        <v>20</v>
      </c>
      <c r="D12" s="6">
        <v>549</v>
      </c>
      <c r="E12" s="5" t="s">
        <v>21</v>
      </c>
      <c r="F12" s="5" t="s">
        <v>11</v>
      </c>
      <c r="G12" s="9">
        <v>11.411452799999999</v>
      </c>
      <c r="H12" s="9">
        <v>108.8470707</v>
      </c>
    </row>
    <row r="13" spans="1:8" x14ac:dyDescent="0.3">
      <c r="A13" s="8" t="s">
        <v>25</v>
      </c>
      <c r="B13" s="5" t="str">
        <f t="shared" si="0"/>
        <v>51N-52N</v>
      </c>
      <c r="C13" s="5" t="s">
        <v>26</v>
      </c>
      <c r="D13" s="6">
        <v>256</v>
      </c>
      <c r="E13" s="5" t="s">
        <v>21</v>
      </c>
      <c r="F13" s="5" t="s">
        <v>11</v>
      </c>
      <c r="G13" s="9">
        <v>11.413400599999999</v>
      </c>
      <c r="H13" s="9">
        <v>108.84582399999999</v>
      </c>
    </row>
    <row r="14" spans="1:8" x14ac:dyDescent="0.3">
      <c r="A14" s="8">
        <v>53</v>
      </c>
      <c r="B14" s="5" t="str">
        <f t="shared" si="0"/>
        <v>52N-53</v>
      </c>
      <c r="C14" s="5" t="s">
        <v>22</v>
      </c>
      <c r="D14" s="6">
        <v>415.00700000000001</v>
      </c>
      <c r="E14" s="5" t="s">
        <v>21</v>
      </c>
      <c r="F14" s="5" t="s">
        <v>11</v>
      </c>
      <c r="G14" s="9">
        <v>11.4166115</v>
      </c>
      <c r="H14" s="9">
        <v>108.843807</v>
      </c>
    </row>
    <row r="15" spans="1:8" x14ac:dyDescent="0.3">
      <c r="A15" s="8">
        <v>54</v>
      </c>
      <c r="B15" s="5" t="str">
        <f t="shared" si="0"/>
        <v>53-54</v>
      </c>
      <c r="C15" s="5" t="s">
        <v>22</v>
      </c>
      <c r="D15" s="6">
        <v>286.35300000000001</v>
      </c>
      <c r="E15" s="5" t="s">
        <v>21</v>
      </c>
      <c r="F15" s="5" t="s">
        <v>11</v>
      </c>
      <c r="G15" s="9">
        <v>11.4187785</v>
      </c>
      <c r="H15" s="9">
        <v>108.8423358</v>
      </c>
    </row>
    <row r="16" spans="1:8" x14ac:dyDescent="0.3">
      <c r="A16" s="8">
        <v>55</v>
      </c>
      <c r="B16" s="5" t="str">
        <f t="shared" si="0"/>
        <v>54-55</v>
      </c>
      <c r="C16" s="5" t="s">
        <v>22</v>
      </c>
      <c r="D16" s="6">
        <v>492.99799999999999</v>
      </c>
      <c r="E16" s="5" t="s">
        <v>21</v>
      </c>
      <c r="F16" s="5" t="s">
        <v>11</v>
      </c>
      <c r="G16" s="9">
        <v>11.422512299999999</v>
      </c>
      <c r="H16" s="9">
        <v>108.8399395</v>
      </c>
    </row>
    <row r="17" spans="1:8" x14ac:dyDescent="0.3">
      <c r="A17" s="8">
        <v>56</v>
      </c>
      <c r="B17" s="5" t="str">
        <f t="shared" si="0"/>
        <v>55-56</v>
      </c>
      <c r="C17" s="5" t="s">
        <v>22</v>
      </c>
      <c r="D17" s="6">
        <v>310</v>
      </c>
      <c r="E17" s="5" t="s">
        <v>21</v>
      </c>
      <c r="F17" s="5" t="s">
        <v>11</v>
      </c>
      <c r="G17" s="9">
        <v>11.424895899999999</v>
      </c>
      <c r="H17" s="9">
        <v>108.8383668</v>
      </c>
    </row>
    <row r="18" spans="1:8" x14ac:dyDescent="0.3">
      <c r="A18" s="8">
        <v>57</v>
      </c>
      <c r="B18" s="5" t="str">
        <f t="shared" si="0"/>
        <v>56-57</v>
      </c>
      <c r="C18" s="5" t="s">
        <v>22</v>
      </c>
      <c r="D18" s="6">
        <v>385.22199999999998</v>
      </c>
      <c r="E18" s="5" t="s">
        <v>27</v>
      </c>
      <c r="F18" s="5" t="s">
        <v>11</v>
      </c>
      <c r="G18" s="9">
        <v>11.427811500000001</v>
      </c>
      <c r="H18" s="9">
        <v>108.8365165</v>
      </c>
    </row>
    <row r="19" spans="1:8" x14ac:dyDescent="0.3">
      <c r="A19" s="8" t="s">
        <v>28</v>
      </c>
      <c r="B19" s="5" t="str">
        <f t="shared" si="0"/>
        <v>57-58N</v>
      </c>
      <c r="C19" s="5" t="s">
        <v>20</v>
      </c>
      <c r="D19" s="6">
        <v>303.28699999999998</v>
      </c>
      <c r="E19" s="5" t="s">
        <v>29</v>
      </c>
      <c r="F19" s="5" t="s">
        <v>11</v>
      </c>
      <c r="G19" s="9">
        <v>11.430110000000001</v>
      </c>
      <c r="H19" s="9">
        <v>108.8349192</v>
      </c>
    </row>
    <row r="20" spans="1:8" x14ac:dyDescent="0.3">
      <c r="A20" s="8" t="s">
        <v>30</v>
      </c>
      <c r="B20" s="5" t="str">
        <f t="shared" si="0"/>
        <v>58N-59N</v>
      </c>
      <c r="C20" s="5" t="s">
        <v>20</v>
      </c>
      <c r="D20" s="6">
        <v>540.18600000000004</v>
      </c>
      <c r="E20" s="5" t="s">
        <v>31</v>
      </c>
      <c r="F20" s="5" t="s">
        <v>11</v>
      </c>
      <c r="G20" s="9">
        <v>11.4337739</v>
      </c>
      <c r="H20" s="9">
        <v>108.8317169</v>
      </c>
    </row>
    <row r="21" spans="1:8" x14ac:dyDescent="0.3">
      <c r="A21" s="5" t="s">
        <v>32</v>
      </c>
      <c r="B21" s="5" t="str">
        <f t="shared" si="0"/>
        <v>59N-59/01</v>
      </c>
      <c r="C21" s="5" t="s">
        <v>15</v>
      </c>
      <c r="D21" s="6">
        <v>322</v>
      </c>
      <c r="E21" s="5" t="s">
        <v>33</v>
      </c>
      <c r="F21" s="5" t="s">
        <v>11</v>
      </c>
      <c r="G21" s="7" t="s">
        <v>34</v>
      </c>
      <c r="H21" s="7" t="s">
        <v>35</v>
      </c>
    </row>
    <row r="22" spans="1:8" x14ac:dyDescent="0.3">
      <c r="A22" s="5" t="s">
        <v>36</v>
      </c>
      <c r="B22" s="5" t="str">
        <f t="shared" si="0"/>
        <v>59/01-59/02</v>
      </c>
      <c r="C22" s="5" t="s">
        <v>15</v>
      </c>
      <c r="D22" s="6">
        <v>247</v>
      </c>
      <c r="E22" s="5" t="s">
        <v>33</v>
      </c>
      <c r="F22" s="5" t="s">
        <v>11</v>
      </c>
      <c r="G22" s="7" t="s">
        <v>37</v>
      </c>
      <c r="H22" s="7" t="s">
        <v>38</v>
      </c>
    </row>
    <row r="23" spans="1:8" x14ac:dyDescent="0.3">
      <c r="A23" s="5" t="s">
        <v>39</v>
      </c>
      <c r="B23" s="5" t="str">
        <f t="shared" si="0"/>
        <v>59/02-59/03</v>
      </c>
      <c r="C23" s="5" t="s">
        <v>22</v>
      </c>
      <c r="D23" s="6">
        <v>639</v>
      </c>
      <c r="E23" s="5" t="s">
        <v>33</v>
      </c>
      <c r="F23" s="5" t="s">
        <v>11</v>
      </c>
      <c r="G23" s="7" t="s">
        <v>40</v>
      </c>
      <c r="H23" s="7" t="s">
        <v>41</v>
      </c>
    </row>
    <row r="24" spans="1:8" x14ac:dyDescent="0.3">
      <c r="A24" s="5" t="s">
        <v>42</v>
      </c>
      <c r="B24" s="5" t="str">
        <f t="shared" si="0"/>
        <v>59/03-59/04</v>
      </c>
      <c r="C24" s="5" t="s">
        <v>22</v>
      </c>
      <c r="D24" s="6">
        <v>371</v>
      </c>
      <c r="E24" s="5" t="s">
        <v>33</v>
      </c>
      <c r="F24" s="5" t="s">
        <v>11</v>
      </c>
      <c r="G24" s="7" t="s">
        <v>43</v>
      </c>
      <c r="H24" s="7" t="s">
        <v>44</v>
      </c>
    </row>
    <row r="25" spans="1:8" x14ac:dyDescent="0.3">
      <c r="A25" s="5" t="s">
        <v>45</v>
      </c>
      <c r="B25" s="5" t="str">
        <f t="shared" si="0"/>
        <v>59/04-59/05</v>
      </c>
      <c r="C25" s="5" t="s">
        <v>22</v>
      </c>
      <c r="D25" s="6">
        <v>223</v>
      </c>
      <c r="E25" s="5" t="s">
        <v>33</v>
      </c>
      <c r="F25" s="5" t="s">
        <v>11</v>
      </c>
      <c r="G25" s="7" t="s">
        <v>46</v>
      </c>
      <c r="H25" s="7" t="s">
        <v>47</v>
      </c>
    </row>
    <row r="26" spans="1:8" x14ac:dyDescent="0.3">
      <c r="A26" s="5" t="s">
        <v>48</v>
      </c>
      <c r="B26" s="5" t="str">
        <f t="shared" si="0"/>
        <v>59/05-59/06</v>
      </c>
      <c r="C26" s="5" t="s">
        <v>15</v>
      </c>
      <c r="D26" s="6">
        <v>113</v>
      </c>
      <c r="E26" s="5" t="s">
        <v>33</v>
      </c>
      <c r="F26" s="5" t="s">
        <v>11</v>
      </c>
      <c r="G26" s="7" t="s">
        <v>49</v>
      </c>
      <c r="H26" s="7" t="s">
        <v>50</v>
      </c>
    </row>
    <row r="27" spans="1:8" x14ac:dyDescent="0.3">
      <c r="A27" s="5" t="s">
        <v>51</v>
      </c>
      <c r="B27" s="5" t="str">
        <f t="shared" si="0"/>
        <v>59/06-59/07A</v>
      </c>
      <c r="C27" s="5" t="s">
        <v>52</v>
      </c>
      <c r="D27" s="6">
        <v>123</v>
      </c>
      <c r="E27" s="5" t="s">
        <v>33</v>
      </c>
      <c r="F27" s="5" t="s">
        <v>11</v>
      </c>
      <c r="G27" s="7" t="s">
        <v>53</v>
      </c>
      <c r="H27" s="7" t="s">
        <v>54</v>
      </c>
    </row>
    <row r="28" spans="1:8" x14ac:dyDescent="0.3">
      <c r="A28" s="5" t="s">
        <v>55</v>
      </c>
      <c r="B28" s="5" t="str">
        <f>CONCATENATE(A27,"-",A28)</f>
        <v>59/07A-T220TN</v>
      </c>
      <c r="C28" s="5"/>
      <c r="D28" s="6">
        <v>33</v>
      </c>
      <c r="E28" s="5" t="s">
        <v>33</v>
      </c>
      <c r="F28" s="5" t="s">
        <v>11</v>
      </c>
      <c r="G28" s="7"/>
      <c r="H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274QT-274TN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2026-04-02T04:36:05Z</dcterms:created>
  <dcterms:modified xsi:type="dcterms:W3CDTF">2026-04-02T04:36:44Z</dcterms:modified>
</cp:coreProperties>
</file>