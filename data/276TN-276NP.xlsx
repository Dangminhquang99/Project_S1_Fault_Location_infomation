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FL\data\"/>
    </mc:Choice>
  </mc:AlternateContent>
  <xr:revisionPtr revIDLastSave="0" documentId="8_{A0E13DF7-5CFF-4874-A447-6D73C1D2BC3E}" xr6:coauthVersionLast="47" xr6:coauthVersionMax="47" xr10:uidLastSave="{00000000-0000-0000-0000-000000000000}"/>
  <bookViews>
    <workbookView xWindow="-108" yWindow="-108" windowWidth="23256" windowHeight="12456" xr2:uid="{B80732E1-2013-41C1-AB48-32437156EA1D}"/>
  </bookViews>
  <sheets>
    <sheet name="276TN-276N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<sst xmlns="http://schemas.openxmlformats.org/spreadsheetml/2006/main" count="215" uniqueCount="139">
  <si>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</si>
  <si>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</si>
  <si>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</si>
  <si>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</si>
  <si>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</si>
  <si>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</si>
  <si>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</si>
  <si>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</si>
  <si>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T220TN</t>
  </si>
  <si>
    <t>59/07B</t>
  </si>
  <si>
    <t>Điểm đầu</t>
  </si>
  <si>
    <t>-</t>
  </si>
  <si>
    <t>ACB</t>
  </si>
  <si>
    <t>11.43316</t>
  </si>
  <si>
    <t>108.84573</t>
  </si>
  <si>
    <t>59/06</t>
  </si>
  <si>
    <t>Néo</t>
  </si>
  <si>
    <t>11.43408</t>
  </si>
  <si>
    <t>108.84476</t>
  </si>
  <si>
    <t>59/05</t>
  </si>
  <si>
    <t>Đỡ</t>
  </si>
  <si>
    <t>11.43461</t>
  </si>
  <si>
    <t>108.84388</t>
  </si>
  <si>
    <t>59/04</t>
  </si>
  <si>
    <t>11.43555</t>
  </si>
  <si>
    <t>108.84205</t>
  </si>
  <si>
    <t>59/03</t>
  </si>
  <si>
    <t>11.43582</t>
  </si>
  <si>
    <t>108.83867</t>
  </si>
  <si>
    <t>59/02</t>
  </si>
  <si>
    <t>11.43628</t>
  </si>
  <si>
    <t>108.83283</t>
  </si>
  <si>
    <t>59/01</t>
  </si>
  <si>
    <t>11.43648</t>
  </si>
  <si>
    <t>108.83052</t>
  </si>
  <si>
    <t>60</t>
  </si>
  <si>
    <t>Néo góc</t>
  </si>
  <si>
    <t>G13.P=6°1'</t>
  </si>
  <si>
    <t>11.4384258</t>
  </si>
  <si>
    <t>108.8297821</t>
  </si>
  <si>
    <t>61</t>
  </si>
  <si>
    <t>11.4406884</t>
  </si>
  <si>
    <t>108.8290445</t>
  </si>
  <si>
    <t>62</t>
  </si>
  <si>
    <t>11.4430394</t>
  </si>
  <si>
    <t>108.828194</t>
  </si>
  <si>
    <t>63</t>
  </si>
  <si>
    <t>11.4472473</t>
  </si>
  <si>
    <t>108.8269055</t>
  </si>
  <si>
    <t>64</t>
  </si>
  <si>
    <t>11.4504259</t>
  </si>
  <si>
    <t>108.8259022</t>
  </si>
  <si>
    <t>65</t>
  </si>
  <si>
    <t>11.4532589</t>
  </si>
  <si>
    <t>108.8250135</t>
  </si>
  <si>
    <t>66</t>
  </si>
  <si>
    <t>11.4562663</t>
  </si>
  <si>
    <t>108.824041</t>
  </si>
  <si>
    <t>67</t>
  </si>
  <si>
    <t>11.4588347</t>
  </si>
  <si>
    <t>108.8232549</t>
  </si>
  <si>
    <t>68</t>
  </si>
  <si>
    <t>11.4617458</t>
  </si>
  <si>
    <t>108.8223522</t>
  </si>
  <si>
    <t>69</t>
  </si>
  <si>
    <t>G14.P=43°1'</t>
  </si>
  <si>
    <t>11.4640799</t>
  </si>
  <si>
    <t>108.8215753</t>
  </si>
  <si>
    <t>70</t>
  </si>
  <si>
    <t>11.466932</t>
  </si>
  <si>
    <t>108.8229375</t>
  </si>
  <si>
    <t>71</t>
  </si>
  <si>
    <t>11.470062</t>
  </si>
  <si>
    <t>108.824479</t>
  </si>
  <si>
    <t>72</t>
  </si>
  <si>
    <t>11.4732362</t>
  </si>
  <si>
    <t>108.826016</t>
  </si>
  <si>
    <t>73</t>
  </si>
  <si>
    <t>11.476456</t>
  </si>
  <si>
    <t>108.8275686</t>
  </si>
  <si>
    <t>74</t>
  </si>
  <si>
    <t>11.4802094</t>
  </si>
  <si>
    <t>108.8294034</t>
  </si>
  <si>
    <t>75</t>
  </si>
  <si>
    <t>11.4818549</t>
  </si>
  <si>
    <t>108.8302368</t>
  </si>
  <si>
    <t>76</t>
  </si>
  <si>
    <t>11.4855358</t>
  </si>
  <si>
    <t>108.8320379</t>
  </si>
  <si>
    <t>77</t>
  </si>
  <si>
    <t>11.489297</t>
  </si>
  <si>
    <t>108.8338648</t>
  </si>
  <si>
    <t>78</t>
  </si>
  <si>
    <t>11.4930351</t>
  </si>
  <si>
    <t>108.8357269</t>
  </si>
  <si>
    <t>79</t>
  </si>
  <si>
    <t>G15.T=25°5'</t>
  </si>
  <si>
    <t>11.4948508</t>
  </si>
  <si>
    <t>108.8365524</t>
  </si>
  <si>
    <t>01NRNP</t>
  </si>
  <si>
    <t>G11.P=76º13'</t>
  </si>
  <si>
    <t>11.4951821</t>
  </si>
  <si>
    <t>108.8368378</t>
  </si>
  <si>
    <t>02NRNP</t>
  </si>
  <si>
    <t>G2.T=41º31'</t>
  </si>
  <si>
    <t>11.4939568</t>
  </si>
  <si>
    <t>108.8386495</t>
  </si>
  <si>
    <t>03NRNP</t>
  </si>
  <si>
    <t>Đỡ thẳng</t>
  </si>
  <si>
    <t>11.4942069</t>
  </si>
  <si>
    <t>108.842962</t>
  </si>
  <si>
    <t>04NRNP</t>
  </si>
  <si>
    <t>11.494607</t>
  </si>
  <si>
    <t>108.8471724</t>
  </si>
  <si>
    <t>05NRNP</t>
  </si>
  <si>
    <t>11.494782</t>
  </si>
  <si>
    <t>108.8503111</t>
  </si>
  <si>
    <t>06NRNP</t>
  </si>
  <si>
    <t>11.4951321</t>
  </si>
  <si>
    <t>108.8544704</t>
  </si>
  <si>
    <t>07NRNP</t>
  </si>
  <si>
    <t>11.4956072</t>
  </si>
  <si>
    <t>108.858145</t>
  </si>
  <si>
    <t>08NRNP</t>
  </si>
  <si>
    <t>G3.P=17º9'</t>
  </si>
  <si>
    <t>11.4959573</t>
  </si>
  <si>
    <t>108.8625595</t>
  </si>
  <si>
    <t>09NRNP</t>
  </si>
  <si>
    <t>11.4952571</t>
  </si>
  <si>
    <t>108.8657492</t>
  </si>
  <si>
    <t>10NRNP</t>
  </si>
  <si>
    <t>G41T=0°50'
G42.P=4°42'</t>
  </si>
  <si>
    <t>11.4944069</t>
  </si>
  <si>
    <t>108.8689644</t>
  </si>
  <si>
    <t>11BNRNP</t>
  </si>
  <si>
    <t>Điểm cuối</t>
  </si>
  <si>
    <t>11.4938233</t>
  </si>
  <si>
    <t>108.8716977</t>
  </si>
  <si>
    <t>T220NP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</si>
</sst>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3013D-ECA6-4385-AA2A-75D5C01290BC}">
  <dimension ref="A1:H41"/>
  <sheetViews>
    <sheetView tabSelected="1" workbookViewId="0">
      <selection activeCell="E22" sqref="E22"/>
    </sheetView>
  </sheetViews>
  <sheetFormatPr defaultColWidth="8.6640625" defaultRowHeight="15.6" x14ac:dyDescent="0.3"/>
  <cols>
    <col min="1" max="1" width="17" style="4" customWidth="1"/>
    <col min="2" max="2" width="17.88671875" style="4" customWidth="1"/>
    <col min="3" max="3" width="13.44140625" style="4" bestFit="1" customWidth="1"/>
    <col min="4" max="6" width="17" style="4" customWidth="1"/>
    <col min="7" max="8" width="14.44140625" style="10" customWidth="1"/>
    <col min="9" max="16384" width="8.6640625" style="4"/>
  </cols>
  <sheetData>
    <row r="1" spans="1:8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3">
      <c r="A2" s="5" t="s">
        <v>8</v>
      </c>
      <c r="B2" s="1"/>
      <c r="C2" s="5"/>
      <c r="D2" s="6">
        <v>33</v>
      </c>
      <c r="E2" s="5"/>
      <c r="F2" s="5"/>
      <c r="G2" s="7"/>
      <c r="H2" s="7"/>
    </row>
    <row r="3" spans="1:8" x14ac:dyDescent="0.3">
      <c r="A3" s="5" t="s">
        <v>9</v>
      </c>
      <c r="B3" s="5" t="str">
        <f t="shared" ref="B3:B41" si="0">CONCATENATE(A2,"-",A3)</f>
        <v>T220TN-59/07B</v>
      </c>
      <c r="C3" s="5" t="s">
        <v>10</v>
      </c>
      <c r="D3" s="6">
        <v>123</v>
      </c>
      <c r="E3" s="5" t="s">
        <v>11</v>
      </c>
      <c r="F3" s="5" t="s">
        <v>12</v>
      </c>
      <c r="G3" s="7" t="s">
        <v>13</v>
      </c>
      <c r="H3" s="7" t="s">
        <v>14</v>
      </c>
    </row>
    <row r="4" spans="1:8" x14ac:dyDescent="0.3">
      <c r="A4" s="5" t="s">
        <v>15</v>
      </c>
      <c r="B4" s="5" t="str">
        <f t="shared" si="0"/>
        <v>59/07B-59/06</v>
      </c>
      <c r="C4" s="5" t="s">
        <v>16</v>
      </c>
      <c r="D4" s="6">
        <v>113</v>
      </c>
      <c r="E4" s="5" t="s">
        <v>11</v>
      </c>
      <c r="F4" s="5" t="s">
        <v>12</v>
      </c>
      <c r="G4" s="7" t="s">
        <v>17</v>
      </c>
      <c r="H4" s="7" t="s">
        <v>18</v>
      </c>
    </row>
    <row r="5" spans="1:8" x14ac:dyDescent="0.3">
      <c r="A5" s="5" t="s">
        <v>19</v>
      </c>
      <c r="B5" s="5" t="str">
        <f t="shared" si="0"/>
        <v>59/06-59/05</v>
      </c>
      <c r="C5" s="5" t="s">
        <v>20</v>
      </c>
      <c r="D5" s="6">
        <v>223</v>
      </c>
      <c r="E5" s="5" t="s">
        <v>11</v>
      </c>
      <c r="F5" s="5" t="s">
        <v>12</v>
      </c>
      <c r="G5" s="7" t="s">
        <v>21</v>
      </c>
      <c r="H5" s="7" t="s">
        <v>22</v>
      </c>
    </row>
    <row r="6" spans="1:8" x14ac:dyDescent="0.3">
      <c r="A6" s="5" t="s">
        <v>23</v>
      </c>
      <c r="B6" s="5" t="str">
        <f t="shared" si="0"/>
        <v>59/05-59/04</v>
      </c>
      <c r="C6" s="5" t="s">
        <v>20</v>
      </c>
      <c r="D6" s="6">
        <v>371</v>
      </c>
      <c r="E6" s="5" t="s">
        <v>11</v>
      </c>
      <c r="F6" s="5" t="s">
        <v>12</v>
      </c>
      <c r="G6" s="7" t="s">
        <v>24</v>
      </c>
      <c r="H6" s="7" t="s">
        <v>25</v>
      </c>
    </row>
    <row r="7" spans="1:8" x14ac:dyDescent="0.3">
      <c r="A7" s="5" t="s">
        <v>26</v>
      </c>
      <c r="B7" s="5" t="str">
        <f t="shared" si="0"/>
        <v>59/04-59/03</v>
      </c>
      <c r="C7" s="5" t="s">
        <v>20</v>
      </c>
      <c r="D7" s="6">
        <v>639</v>
      </c>
      <c r="E7" s="5" t="s">
        <v>11</v>
      </c>
      <c r="F7" s="5" t="s">
        <v>12</v>
      </c>
      <c r="G7" s="7" t="s">
        <v>27</v>
      </c>
      <c r="H7" s="7" t="s">
        <v>28</v>
      </c>
    </row>
    <row r="8" spans="1:8" x14ac:dyDescent="0.3">
      <c r="A8" s="5" t="s">
        <v>29</v>
      </c>
      <c r="B8" s="5" t="str">
        <f t="shared" si="0"/>
        <v>59/03-59/02</v>
      </c>
      <c r="C8" s="5" t="s">
        <v>16</v>
      </c>
      <c r="D8" s="6">
        <v>247</v>
      </c>
      <c r="E8" s="5" t="s">
        <v>11</v>
      </c>
      <c r="F8" s="5" t="s">
        <v>12</v>
      </c>
      <c r="G8" s="7" t="s">
        <v>30</v>
      </c>
      <c r="H8" s="7" t="s">
        <v>31</v>
      </c>
    </row>
    <row r="9" spans="1:8" x14ac:dyDescent="0.3">
      <c r="A9" s="5" t="s">
        <v>32</v>
      </c>
      <c r="B9" s="5" t="str">
        <f t="shared" si="0"/>
        <v>59/02-59/01</v>
      </c>
      <c r="C9" s="5" t="s">
        <v>16</v>
      </c>
      <c r="D9" s="6">
        <v>322</v>
      </c>
      <c r="E9" s="5" t="s">
        <v>11</v>
      </c>
      <c r="F9" s="5" t="s">
        <v>12</v>
      </c>
      <c r="G9" s="7" t="s">
        <v>33</v>
      </c>
      <c r="H9" s="7" t="s">
        <v>34</v>
      </c>
    </row>
    <row r="10" spans="1:8" x14ac:dyDescent="0.3">
      <c r="A10" s="5" t="s">
        <v>35</v>
      </c>
      <c r="B10" s="5" t="str">
        <f t="shared" si="0"/>
        <v>59/01-60</v>
      </c>
      <c r="C10" s="5" t="s">
        <v>36</v>
      </c>
      <c r="D10" s="6">
        <v>230</v>
      </c>
      <c r="E10" s="5" t="s">
        <v>37</v>
      </c>
      <c r="F10" s="5" t="s">
        <v>12</v>
      </c>
      <c r="G10" s="7" t="s">
        <v>38</v>
      </c>
      <c r="H10" s="7" t="s">
        <v>39</v>
      </c>
    </row>
    <row r="11" spans="1:8" x14ac:dyDescent="0.3">
      <c r="A11" s="5" t="s">
        <v>40</v>
      </c>
      <c r="B11" s="5" t="str">
        <f t="shared" si="0"/>
        <v>60-61</v>
      </c>
      <c r="C11" s="5" t="s">
        <v>20</v>
      </c>
      <c r="D11" s="6">
        <v>270.00099999999998</v>
      </c>
      <c r="E11" s="5">
        <v>0</v>
      </c>
      <c r="F11" s="5" t="s">
        <v>12</v>
      </c>
      <c r="G11" s="7" t="s">
        <v>41</v>
      </c>
      <c r="H11" s="7" t="s">
        <v>42</v>
      </c>
    </row>
    <row r="12" spans="1:8" x14ac:dyDescent="0.3">
      <c r="A12" s="5" t="s">
        <v>43</v>
      </c>
      <c r="B12" s="5" t="str">
        <f t="shared" si="0"/>
        <v>61-62</v>
      </c>
      <c r="C12" s="5" t="s">
        <v>20</v>
      </c>
      <c r="D12" s="6">
        <v>274.99799999999999</v>
      </c>
      <c r="E12" s="5">
        <v>0</v>
      </c>
      <c r="F12" s="5" t="s">
        <v>12</v>
      </c>
      <c r="G12" s="7" t="s">
        <v>44</v>
      </c>
      <c r="H12" s="7" t="s">
        <v>45</v>
      </c>
    </row>
    <row r="13" spans="1:8" x14ac:dyDescent="0.3">
      <c r="A13" s="5" t="s">
        <v>46</v>
      </c>
      <c r="B13" s="5" t="str">
        <f t="shared" si="0"/>
        <v>62-63</v>
      </c>
      <c r="C13" s="5" t="s">
        <v>20</v>
      </c>
      <c r="D13" s="6">
        <v>480.30700000000002</v>
      </c>
      <c r="E13" s="5">
        <v>0</v>
      </c>
      <c r="F13" s="5" t="s">
        <v>12</v>
      </c>
      <c r="G13" s="7" t="s">
        <v>47</v>
      </c>
      <c r="H13" s="7" t="s">
        <v>48</v>
      </c>
    </row>
    <row r="14" spans="1:8" x14ac:dyDescent="0.3">
      <c r="A14" s="5" t="s">
        <v>49</v>
      </c>
      <c r="B14" s="5" t="str">
        <f t="shared" si="0"/>
        <v>63-64</v>
      </c>
      <c r="C14" s="5" t="s">
        <v>20</v>
      </c>
      <c r="D14" s="6">
        <v>375.00200000000001</v>
      </c>
      <c r="E14" s="5">
        <v>0</v>
      </c>
      <c r="F14" s="5" t="s">
        <v>12</v>
      </c>
      <c r="G14" s="7" t="s">
        <v>50</v>
      </c>
      <c r="H14" s="7" t="s">
        <v>51</v>
      </c>
    </row>
    <row r="15" spans="1:8" x14ac:dyDescent="0.3">
      <c r="A15" s="5" t="s">
        <v>52</v>
      </c>
      <c r="B15" s="5" t="str">
        <f t="shared" si="0"/>
        <v>64-65</v>
      </c>
      <c r="C15" s="5" t="s">
        <v>20</v>
      </c>
      <c r="D15" s="6">
        <v>325</v>
      </c>
      <c r="E15" s="5">
        <v>0</v>
      </c>
      <c r="F15" s="5" t="s">
        <v>12</v>
      </c>
      <c r="G15" s="7" t="s">
        <v>53</v>
      </c>
      <c r="H15" s="7" t="s">
        <v>54</v>
      </c>
    </row>
    <row r="16" spans="1:8" x14ac:dyDescent="0.3">
      <c r="A16" s="5" t="s">
        <v>55</v>
      </c>
      <c r="B16" s="5" t="str">
        <f t="shared" si="0"/>
        <v>65-66</v>
      </c>
      <c r="C16" s="5" t="s">
        <v>20</v>
      </c>
      <c r="D16" s="6">
        <v>350.00099999999998</v>
      </c>
      <c r="E16" s="5">
        <v>0</v>
      </c>
      <c r="F16" s="5" t="s">
        <v>12</v>
      </c>
      <c r="G16" s="7" t="s">
        <v>56</v>
      </c>
      <c r="H16" s="7" t="s">
        <v>57</v>
      </c>
    </row>
    <row r="17" spans="1:8" x14ac:dyDescent="0.3">
      <c r="A17" s="5" t="s">
        <v>58</v>
      </c>
      <c r="B17" s="5" t="str">
        <f t="shared" si="0"/>
        <v>66-67</v>
      </c>
      <c r="C17" s="5" t="s">
        <v>20</v>
      </c>
      <c r="D17" s="6">
        <v>294.99200000000002</v>
      </c>
      <c r="E17" s="5">
        <v>0</v>
      </c>
      <c r="F17" s="5" t="s">
        <v>12</v>
      </c>
      <c r="G17" s="7" t="s">
        <v>59</v>
      </c>
      <c r="H17" s="7" t="s">
        <v>60</v>
      </c>
    </row>
    <row r="18" spans="1:8" x14ac:dyDescent="0.3">
      <c r="A18" s="5" t="s">
        <v>61</v>
      </c>
      <c r="B18" s="5" t="str">
        <f t="shared" si="0"/>
        <v>67-68</v>
      </c>
      <c r="C18" s="5" t="s">
        <v>20</v>
      </c>
      <c r="D18" s="6">
        <v>340.01</v>
      </c>
      <c r="E18" s="5">
        <v>0</v>
      </c>
      <c r="F18" s="5" t="s">
        <v>12</v>
      </c>
      <c r="G18" s="7" t="s">
        <v>62</v>
      </c>
      <c r="H18" s="7" t="s">
        <v>63</v>
      </c>
    </row>
    <row r="19" spans="1:8" x14ac:dyDescent="0.3">
      <c r="A19" s="5" t="s">
        <v>64</v>
      </c>
      <c r="B19" s="5" t="str">
        <f t="shared" si="0"/>
        <v>68-69</v>
      </c>
      <c r="C19" s="5" t="s">
        <v>36</v>
      </c>
      <c r="D19" s="6">
        <v>270.33300000000003</v>
      </c>
      <c r="E19" s="5" t="s">
        <v>65</v>
      </c>
      <c r="F19" s="5" t="s">
        <v>12</v>
      </c>
      <c r="G19" s="7" t="s">
        <v>66</v>
      </c>
      <c r="H19" s="7" t="s">
        <v>67</v>
      </c>
    </row>
    <row r="20" spans="1:8" x14ac:dyDescent="0.3">
      <c r="A20" s="5" t="s">
        <v>68</v>
      </c>
      <c r="B20" s="5" t="str">
        <f t="shared" si="0"/>
        <v>69-70</v>
      </c>
      <c r="C20" s="5" t="s">
        <v>20</v>
      </c>
      <c r="D20" s="6">
        <v>350</v>
      </c>
      <c r="E20" s="5">
        <v>0</v>
      </c>
      <c r="F20" s="5" t="s">
        <v>12</v>
      </c>
      <c r="G20" s="7" t="s">
        <v>69</v>
      </c>
      <c r="H20" s="7" t="s">
        <v>70</v>
      </c>
    </row>
    <row r="21" spans="1:8" x14ac:dyDescent="0.3">
      <c r="A21" s="5" t="s">
        <v>71</v>
      </c>
      <c r="B21" s="5" t="str">
        <f t="shared" si="0"/>
        <v>70-71</v>
      </c>
      <c r="C21" s="5" t="s">
        <v>20</v>
      </c>
      <c r="D21" s="6">
        <v>382</v>
      </c>
      <c r="E21" s="5">
        <v>0</v>
      </c>
      <c r="F21" s="5" t="s">
        <v>12</v>
      </c>
      <c r="G21" s="7" t="s">
        <v>72</v>
      </c>
      <c r="H21" s="7" t="s">
        <v>73</v>
      </c>
    </row>
    <row r="22" spans="1:8" x14ac:dyDescent="0.3">
      <c r="A22" s="5" t="s">
        <v>74</v>
      </c>
      <c r="B22" s="5" t="str">
        <f t="shared" si="0"/>
        <v>71-72</v>
      </c>
      <c r="C22" s="5" t="s">
        <v>20</v>
      </c>
      <c r="D22" s="6">
        <v>385</v>
      </c>
      <c r="E22" s="5">
        <v>0</v>
      </c>
      <c r="F22" s="5" t="s">
        <v>12</v>
      </c>
      <c r="G22" s="7" t="s">
        <v>75</v>
      </c>
      <c r="H22" s="7" t="s">
        <v>76</v>
      </c>
    </row>
    <row r="23" spans="1:8" x14ac:dyDescent="0.3">
      <c r="A23" s="5" t="s">
        <v>77</v>
      </c>
      <c r="B23" s="5" t="str">
        <f t="shared" si="0"/>
        <v>72-73</v>
      </c>
      <c r="C23" s="5" t="s">
        <v>20</v>
      </c>
      <c r="D23" s="6">
        <v>403</v>
      </c>
      <c r="E23" s="5">
        <v>0</v>
      </c>
      <c r="F23" s="5" t="s">
        <v>12</v>
      </c>
      <c r="G23" s="7" t="s">
        <v>78</v>
      </c>
      <c r="H23" s="7" t="s">
        <v>79</v>
      </c>
    </row>
    <row r="24" spans="1:8" x14ac:dyDescent="0.3">
      <c r="A24" s="5" t="s">
        <v>80</v>
      </c>
      <c r="B24" s="5" t="str">
        <f t="shared" si="0"/>
        <v>73-74</v>
      </c>
      <c r="C24" s="5" t="s">
        <v>20</v>
      </c>
      <c r="D24" s="6">
        <v>443</v>
      </c>
      <c r="E24" s="5">
        <v>0</v>
      </c>
      <c r="F24" s="5" t="s">
        <v>12</v>
      </c>
      <c r="G24" s="7" t="s">
        <v>81</v>
      </c>
      <c r="H24" s="7" t="s">
        <v>82</v>
      </c>
    </row>
    <row r="25" spans="1:8" x14ac:dyDescent="0.3">
      <c r="A25" s="5" t="s">
        <v>83</v>
      </c>
      <c r="B25" s="5" t="str">
        <f t="shared" si="0"/>
        <v>74-75</v>
      </c>
      <c r="C25" s="5" t="s">
        <v>20</v>
      </c>
      <c r="D25" s="6">
        <v>213</v>
      </c>
      <c r="E25" s="5">
        <v>0</v>
      </c>
      <c r="F25" s="5" t="s">
        <v>12</v>
      </c>
      <c r="G25" s="7" t="s">
        <v>84</v>
      </c>
      <c r="H25" s="7" t="s">
        <v>85</v>
      </c>
    </row>
    <row r="26" spans="1:8" x14ac:dyDescent="0.3">
      <c r="A26" s="5" t="s">
        <v>86</v>
      </c>
      <c r="B26" s="5" t="str">
        <f t="shared" si="0"/>
        <v>75-76</v>
      </c>
      <c r="C26" s="5" t="s">
        <v>20</v>
      </c>
      <c r="D26" s="6">
        <v>453.99900000000002</v>
      </c>
      <c r="E26" s="5">
        <v>0</v>
      </c>
      <c r="F26" s="5" t="s">
        <v>12</v>
      </c>
      <c r="G26" s="7" t="s">
        <v>87</v>
      </c>
      <c r="H26" s="7" t="s">
        <v>88</v>
      </c>
    </row>
    <row r="27" spans="1:8" x14ac:dyDescent="0.3">
      <c r="A27" s="5" t="s">
        <v>89</v>
      </c>
      <c r="B27" s="5" t="str">
        <f t="shared" si="0"/>
        <v>76-77</v>
      </c>
      <c r="C27" s="5" t="s">
        <v>20</v>
      </c>
      <c r="D27" s="6">
        <v>465</v>
      </c>
      <c r="E27" s="5">
        <v>0</v>
      </c>
      <c r="F27" s="5" t="s">
        <v>12</v>
      </c>
      <c r="G27" s="7" t="s">
        <v>90</v>
      </c>
      <c r="H27" s="7" t="s">
        <v>91</v>
      </c>
    </row>
    <row r="28" spans="1:8" x14ac:dyDescent="0.3">
      <c r="A28" s="5" t="s">
        <v>92</v>
      </c>
      <c r="B28" s="5" t="str">
        <f t="shared" si="0"/>
        <v>77-78</v>
      </c>
      <c r="C28" s="5" t="s">
        <v>20</v>
      </c>
      <c r="D28" s="6">
        <v>458</v>
      </c>
      <c r="E28" s="5">
        <v>0</v>
      </c>
      <c r="F28" s="5" t="s">
        <v>12</v>
      </c>
      <c r="G28" s="7" t="s">
        <v>93</v>
      </c>
      <c r="H28" s="7" t="s">
        <v>94</v>
      </c>
    </row>
    <row r="29" spans="1:8" x14ac:dyDescent="0.3">
      <c r="A29" s="5" t="s">
        <v>95</v>
      </c>
      <c r="B29" s="5" t="str">
        <f t="shared" si="0"/>
        <v>78-79</v>
      </c>
      <c r="C29" s="5" t="s">
        <v>36</v>
      </c>
      <c r="D29" s="6">
        <v>223.602</v>
      </c>
      <c r="E29" s="5" t="s">
        <v>96</v>
      </c>
      <c r="F29" s="5" t="s">
        <v>12</v>
      </c>
      <c r="G29" s="7" t="s">
        <v>97</v>
      </c>
      <c r="H29" s="7" t="s">
        <v>98</v>
      </c>
    </row>
    <row r="30" spans="1:8" x14ac:dyDescent="0.3">
      <c r="A30" s="5" t="s">
        <v>99</v>
      </c>
      <c r="B30" s="5" t="str">
        <f t="shared" si="0"/>
        <v>79-01NRNP</v>
      </c>
      <c r="C30" s="8" t="s">
        <v>16</v>
      </c>
      <c r="D30" s="6">
        <v>53</v>
      </c>
      <c r="E30" s="5" t="s">
        <v>100</v>
      </c>
      <c r="F30" s="5" t="s">
        <v>12</v>
      </c>
      <c r="G30" s="7" t="s">
        <v>101</v>
      </c>
      <c r="H30" s="7" t="s">
        <v>102</v>
      </c>
    </row>
    <row r="31" spans="1:8" x14ac:dyDescent="0.3">
      <c r="A31" s="5" t="s">
        <v>103</v>
      </c>
      <c r="B31" s="5" t="str">
        <f t="shared" si="0"/>
        <v>01NRNP-02NRNP</v>
      </c>
      <c r="C31" s="8" t="s">
        <v>36</v>
      </c>
      <c r="D31" s="6">
        <v>251</v>
      </c>
      <c r="E31" s="5" t="s">
        <v>104</v>
      </c>
      <c r="F31" s="5" t="s">
        <v>12</v>
      </c>
      <c r="G31" s="7" t="s">
        <v>105</v>
      </c>
      <c r="H31" s="7" t="s">
        <v>106</v>
      </c>
    </row>
    <row r="32" spans="1:8" x14ac:dyDescent="0.3">
      <c r="A32" s="5" t="s">
        <v>107</v>
      </c>
      <c r="B32" s="5" t="str">
        <f t="shared" si="0"/>
        <v>02NRNP-03NRNP</v>
      </c>
      <c r="C32" s="8" t="s">
        <v>108</v>
      </c>
      <c r="D32" s="6">
        <v>466</v>
      </c>
      <c r="E32" s="5">
        <v>0</v>
      </c>
      <c r="F32" s="5" t="s">
        <v>12</v>
      </c>
      <c r="G32" s="7" t="s">
        <v>109</v>
      </c>
      <c r="H32" s="7" t="s">
        <v>110</v>
      </c>
    </row>
    <row r="33" spans="1:8" x14ac:dyDescent="0.3">
      <c r="A33" s="5" t="s">
        <v>111</v>
      </c>
      <c r="B33" s="5" t="str">
        <f t="shared" si="0"/>
        <v>03NRNP-04NRNP</v>
      </c>
      <c r="C33" s="8" t="s">
        <v>108</v>
      </c>
      <c r="D33" s="6">
        <v>467</v>
      </c>
      <c r="E33" s="5">
        <v>0</v>
      </c>
      <c r="F33" s="5" t="s">
        <v>12</v>
      </c>
      <c r="G33" s="7" t="s">
        <v>112</v>
      </c>
      <c r="H33" s="7" t="s">
        <v>113</v>
      </c>
    </row>
    <row r="34" spans="1:8" x14ac:dyDescent="0.3">
      <c r="A34" s="5" t="s">
        <v>114</v>
      </c>
      <c r="B34" s="5" t="str">
        <f t="shared" si="0"/>
        <v>04NRNP-05NRNP</v>
      </c>
      <c r="C34" s="8" t="s">
        <v>108</v>
      </c>
      <c r="D34" s="6">
        <v>350</v>
      </c>
      <c r="E34" s="5">
        <v>0</v>
      </c>
      <c r="F34" s="5" t="s">
        <v>12</v>
      </c>
      <c r="G34" s="7" t="s">
        <v>115</v>
      </c>
      <c r="H34" s="7" t="s">
        <v>116</v>
      </c>
    </row>
    <row r="35" spans="1:8" x14ac:dyDescent="0.3">
      <c r="A35" s="5" t="s">
        <v>117</v>
      </c>
      <c r="B35" s="5" t="str">
        <f t="shared" si="0"/>
        <v>05NRNP-06NRNP</v>
      </c>
      <c r="C35" s="8" t="s">
        <v>108</v>
      </c>
      <c r="D35" s="6">
        <v>429</v>
      </c>
      <c r="E35" s="5">
        <v>0</v>
      </c>
      <c r="F35" s="5" t="s">
        <v>12</v>
      </c>
      <c r="G35" s="7" t="s">
        <v>118</v>
      </c>
      <c r="H35" s="7" t="s">
        <v>119</v>
      </c>
    </row>
    <row r="36" spans="1:8" x14ac:dyDescent="0.3">
      <c r="A36" s="5" t="s">
        <v>120</v>
      </c>
      <c r="B36" s="5" t="str">
        <f t="shared" si="0"/>
        <v>06NRNP-07NRNP</v>
      </c>
      <c r="C36" s="8" t="s">
        <v>108</v>
      </c>
      <c r="D36" s="6">
        <v>430</v>
      </c>
      <c r="E36" s="5">
        <v>0</v>
      </c>
      <c r="F36" s="5" t="s">
        <v>12</v>
      </c>
      <c r="G36" s="7" t="s">
        <v>121</v>
      </c>
      <c r="H36" s="7" t="s">
        <v>122</v>
      </c>
    </row>
    <row r="37" spans="1:8" x14ac:dyDescent="0.3">
      <c r="A37" s="5" t="s">
        <v>123</v>
      </c>
      <c r="B37" s="5" t="str">
        <f t="shared" si="0"/>
        <v>07NRNP-08NRNP</v>
      </c>
      <c r="C37" s="8" t="s">
        <v>36</v>
      </c>
      <c r="D37" s="6">
        <v>463</v>
      </c>
      <c r="E37" s="5" t="s">
        <v>124</v>
      </c>
      <c r="F37" s="5" t="s">
        <v>12</v>
      </c>
      <c r="G37" s="7" t="s">
        <v>125</v>
      </c>
      <c r="H37" s="7" t="s">
        <v>126</v>
      </c>
    </row>
    <row r="38" spans="1:8" x14ac:dyDescent="0.3">
      <c r="A38" s="5" t="s">
        <v>127</v>
      </c>
      <c r="B38" s="5" t="str">
        <f t="shared" si="0"/>
        <v>08NRNP-09NRNP</v>
      </c>
      <c r="C38" s="8" t="s">
        <v>20</v>
      </c>
      <c r="D38" s="6">
        <v>347</v>
      </c>
      <c r="E38" s="5">
        <v>0</v>
      </c>
      <c r="F38" s="5" t="s">
        <v>12</v>
      </c>
      <c r="G38" s="7" t="s">
        <v>128</v>
      </c>
      <c r="H38" s="7" t="s">
        <v>129</v>
      </c>
    </row>
    <row r="39" spans="1:8" ht="31.2" x14ac:dyDescent="0.3">
      <c r="A39" s="5" t="s">
        <v>130</v>
      </c>
      <c r="B39" s="5" t="str">
        <f t="shared" si="0"/>
        <v>09NRNP-10NRNP</v>
      </c>
      <c r="C39" s="8" t="s">
        <v>36</v>
      </c>
      <c r="D39" s="6">
        <v>368</v>
      </c>
      <c r="E39" s="9" t="s">
        <v>131</v>
      </c>
      <c r="F39" s="5" t="s">
        <v>12</v>
      </c>
      <c r="G39" s="7" t="s">
        <v>132</v>
      </c>
      <c r="H39" s="7" t="s">
        <v>133</v>
      </c>
    </row>
    <row r="40" spans="1:8" x14ac:dyDescent="0.3">
      <c r="A40" s="5" t="s">
        <v>134</v>
      </c>
      <c r="B40" s="5" t="str">
        <f t="shared" si="0"/>
        <v>10NRNP-11BNRNP</v>
      </c>
      <c r="C40" s="8" t="s">
        <v>135</v>
      </c>
      <c r="D40" s="6">
        <v>305</v>
      </c>
      <c r="E40" s="5">
        <v>0</v>
      </c>
      <c r="F40" s="5" t="s">
        <v>12</v>
      </c>
      <c r="G40" s="7" t="s">
        <v>136</v>
      </c>
      <c r="H40" s="7" t="s">
        <v>137</v>
      </c>
    </row>
    <row r="41" spans="1:8" x14ac:dyDescent="0.3">
      <c r="A41" s="5" t="s">
        <v>138</v>
      </c>
      <c r="B41" s="5" t="str">
        <f t="shared" si="0"/>
        <v>11BNRNP-T220NP</v>
      </c>
      <c r="C41" s="5"/>
      <c r="D41" s="6">
        <v>51</v>
      </c>
      <c r="E41" s="5"/>
      <c r="F41" s="5" t="s">
        <v>12</v>
      </c>
      <c r="G41" s="7"/>
      <c r="H4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276TN-276NP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Minh Quang (PTC3)</dc:creator>
  <cp:lastModifiedBy>Đặng Minh Quang (PTC3)</cp:lastModifiedBy>
  <dcterms:created xsi:type="dcterms:W3CDTF">2026-04-02T04:37:40Z</dcterms:created>
  <dcterms:modified xsi:type="dcterms:W3CDTF">2026-04-02T04:38:01Z</dcterms:modified>
</cp:coreProperties>
</file>