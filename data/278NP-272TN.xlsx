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30B74F36-AF83-4F87-AFEB-4A029A080EEA}" xr6:coauthVersionLast="47" xr6:coauthVersionMax="47" xr10:uidLastSave="{00000000-0000-0000-0000-000000000000}"/>
  <bookViews>
    <workbookView xWindow="-108" yWindow="-108" windowWidth="23256" windowHeight="12456" xr2:uid="{DA98268B-0014-4163-81AD-563F6B919486}"/>
  </bookViews>
  <sheets>
    <sheet name="278NP-272T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<sst xmlns="http://schemas.openxmlformats.org/spreadsheetml/2006/main" count="214" uniqueCount="124">
  <si>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</si>
  <si>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</si>
  <si>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</si>
  <si>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</si>
  <si>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</si>
  <si>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</si>
  <si>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</si>
  <si>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</si>
  <si>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T220NP</t>
  </si>
  <si>
    <t>0°</t>
  </si>
  <si>
    <t>CBA</t>
  </si>
  <si>
    <t>01</t>
  </si>
  <si>
    <t>Điểm đầu</t>
  </si>
  <si>
    <t>11.493194</t>
  </si>
  <si>
    <t>108.871587</t>
  </si>
  <si>
    <t>02</t>
  </si>
  <si>
    <t>Đỡ thẳng</t>
  </si>
  <si>
    <t>11.4939</t>
  </si>
  <si>
    <t>108.86863</t>
  </si>
  <si>
    <t>03</t>
  </si>
  <si>
    <t>G1.T=19°04’</t>
  </si>
  <si>
    <t>04</t>
  </si>
  <si>
    <t>Néo góc</t>
  </si>
  <si>
    <t>11.495386</t>
  </si>
  <si>
    <t>108.863</t>
  </si>
  <si>
    <t>05</t>
  </si>
  <si>
    <t>11.495092</t>
  </si>
  <si>
    <t>108.859289</t>
  </si>
  <si>
    <t>06</t>
  </si>
  <si>
    <t>11.494758</t>
  </si>
  <si>
    <t>108.855078</t>
  </si>
  <si>
    <t>07</t>
  </si>
  <si>
    <t>08</t>
  </si>
  <si>
    <t>11.494186</t>
  </si>
  <si>
    <t>108.847842</t>
  </si>
  <si>
    <t>09</t>
  </si>
  <si>
    <t>108.844228</t>
  </si>
  <si>
    <t>10</t>
  </si>
  <si>
    <t>G2.T=26°59'</t>
  </si>
  <si>
    <t>11.49363</t>
  </si>
  <si>
    <t>108.84096</t>
  </si>
  <si>
    <t>11</t>
  </si>
  <si>
    <t>G3.P=68°33'</t>
  </si>
  <si>
    <t>11.49335</t>
  </si>
  <si>
    <t>108.83717</t>
  </si>
  <si>
    <t>12</t>
  </si>
  <si>
    <t>G4.P=18°36'</t>
  </si>
  <si>
    <t>11.49471</t>
  </si>
  <si>
    <t>108.83392</t>
  </si>
  <si>
    <t>13</t>
  </si>
  <si>
    <t>11.49279</t>
  </si>
  <si>
    <t>108.83204</t>
  </si>
  <si>
    <t>14</t>
  </si>
  <si>
    <t>11.49053</t>
  </si>
  <si>
    <t>108.83092</t>
  </si>
  <si>
    <t>15</t>
  </si>
  <si>
    <t>11.48677</t>
  </si>
  <si>
    <t>108.82919</t>
  </si>
  <si>
    <t>16</t>
  </si>
  <si>
    <t>11.48307</t>
  </si>
  <si>
    <t>108.82745</t>
  </si>
  <si>
    <t>17</t>
  </si>
  <si>
    <t>G5.P=58°37’</t>
  </si>
  <si>
    <t>11.48021</t>
  </si>
  <si>
    <t>108.82575</t>
  </si>
  <si>
    <t>18</t>
  </si>
  <si>
    <t>G6.P=60°11’</t>
  </si>
  <si>
    <t>11.47486</t>
  </si>
  <si>
    <t>108.82347</t>
  </si>
  <si>
    <t>19</t>
  </si>
  <si>
    <t>11.47141</t>
  </si>
  <si>
    <t>108.82579</t>
  </si>
  <si>
    <t>20</t>
  </si>
  <si>
    <t>G7.P=45°34’</t>
  </si>
  <si>
    <t>11.46728</t>
  </si>
  <si>
    <t>108.82366</t>
  </si>
  <si>
    <t>21</t>
  </si>
  <si>
    <t>11.46403</t>
  </si>
  <si>
    <t>108.82186</t>
  </si>
  <si>
    <t>22</t>
  </si>
  <si>
    <t>11.46099</t>
  </si>
  <si>
    <t>108.82295</t>
  </si>
  <si>
    <t>23</t>
  </si>
  <si>
    <t>Néo thẳng</t>
  </si>
  <si>
    <t>11.4584</t>
  </si>
  <si>
    <t>108.82383</t>
  </si>
  <si>
    <t>24</t>
  </si>
  <si>
    <t>11.45623</t>
  </si>
  <si>
    <t>108.82458</t>
  </si>
  <si>
    <t>25</t>
  </si>
  <si>
    <t>11.45231</t>
  </si>
  <si>
    <t>108.82598</t>
  </si>
  <si>
    <t>26</t>
  </si>
  <si>
    <t>11.44823</t>
  </si>
  <si>
    <t>108.82739</t>
  </si>
  <si>
    <t>27</t>
  </si>
  <si>
    <t>11.44401</t>
  </si>
  <si>
    <t>108.82884</t>
  </si>
  <si>
    <t>28</t>
  </si>
  <si>
    <t>G8.T=67°21’</t>
  </si>
  <si>
    <t>11.44146</t>
  </si>
  <si>
    <t>108.82969</t>
  </si>
  <si>
    <t>29</t>
  </si>
  <si>
    <t>G8.AT=07°31’</t>
  </si>
  <si>
    <t>11.43775</t>
  </si>
  <si>
    <t>30</t>
  </si>
  <si>
    <t>G9.AP=17°37’</t>
  </si>
  <si>
    <t>11.43752</t>
  </si>
  <si>
    <t>108.83398</t>
  </si>
  <si>
    <t>31</t>
  </si>
  <si>
    <t>11.43587</t>
  </si>
  <si>
    <t>108.84215</t>
  </si>
  <si>
    <t>32</t>
  </si>
  <si>
    <t>G10.AP=47°39’</t>
  </si>
  <si>
    <t>11.43492</t>
  </si>
  <si>
    <t>108.84388</t>
  </si>
  <si>
    <t>33</t>
  </si>
  <si>
    <t>11.43475</t>
  </si>
  <si>
    <t>108.8442</t>
  </si>
  <si>
    <t>34</t>
  </si>
  <si>
    <t>Điểm cuối</t>
  </si>
  <si>
    <t>11.43332</t>
  </si>
  <si>
    <t>108.84471</t>
  </si>
  <si>
    <t>T220TN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</si>
</sst>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AC40-0737-4326-AB50-042DA0CF0977}">
  <dimension ref="A1:H37"/>
  <sheetViews>
    <sheetView tabSelected="1" topLeftCell="A25" workbookViewId="0">
      <selection activeCell="K35" sqref="K35"/>
    </sheetView>
  </sheetViews>
  <sheetFormatPr defaultColWidth="8.6640625" defaultRowHeight="15.6" x14ac:dyDescent="0.3"/>
  <cols>
    <col min="1" max="1" width="17" style="4" customWidth="1"/>
    <col min="2" max="2" width="23.44140625" style="4" customWidth="1"/>
    <col min="3" max="3" width="13.44140625" style="4" bestFit="1" customWidth="1"/>
    <col min="4" max="6" width="17" style="4" customWidth="1"/>
    <col min="7" max="8" width="14.44140625" style="16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6"/>
      <c r="C2" s="7"/>
      <c r="D2" s="8">
        <v>0</v>
      </c>
      <c r="E2" s="9" t="s">
        <v>9</v>
      </c>
      <c r="F2" s="10" t="s">
        <v>10</v>
      </c>
      <c r="G2" s="11"/>
      <c r="H2" s="11"/>
    </row>
    <row r="3" spans="1:8" x14ac:dyDescent="0.3">
      <c r="A3" s="12" t="s">
        <v>11</v>
      </c>
      <c r="B3" s="6" t="str">
        <f t="shared" ref="B3:B37" si="0">CONCATENATE(A2,"-",A3)</f>
        <v>T220NP-01</v>
      </c>
      <c r="C3" s="8" t="s">
        <v>12</v>
      </c>
      <c r="D3" s="8">
        <v>50</v>
      </c>
      <c r="E3" s="9" t="s">
        <v>9</v>
      </c>
      <c r="F3" s="10" t="s">
        <v>10</v>
      </c>
      <c r="G3" s="11" t="s">
        <v>13</v>
      </c>
      <c r="H3" s="11" t="s">
        <v>14</v>
      </c>
    </row>
    <row r="4" spans="1:8" x14ac:dyDescent="0.3">
      <c r="A4" s="12" t="s">
        <v>15</v>
      </c>
      <c r="B4" s="6" t="str">
        <f t="shared" si="0"/>
        <v>01-02</v>
      </c>
      <c r="C4" s="8" t="s">
        <v>16</v>
      </c>
      <c r="D4" s="8">
        <v>327</v>
      </c>
      <c r="E4" s="9" t="s">
        <v>9</v>
      </c>
      <c r="F4" s="10" t="s">
        <v>10</v>
      </c>
      <c r="G4" s="11" t="s">
        <v>17</v>
      </c>
      <c r="H4" s="11" t="s">
        <v>18</v>
      </c>
    </row>
    <row r="5" spans="1:8" x14ac:dyDescent="0.3">
      <c r="A5" s="12" t="s">
        <v>19</v>
      </c>
      <c r="B5" s="6" t="str">
        <f t="shared" si="0"/>
        <v>02-03</v>
      </c>
      <c r="C5" s="8" t="s">
        <v>16</v>
      </c>
      <c r="D5" s="8">
        <v>298</v>
      </c>
      <c r="E5" s="9" t="s">
        <v>20</v>
      </c>
      <c r="F5" s="10" t="s">
        <v>10</v>
      </c>
      <c r="G5" s="10">
        <v>11.494593</v>
      </c>
      <c r="H5" s="10">
        <v>108.866044</v>
      </c>
    </row>
    <row r="6" spans="1:8" x14ac:dyDescent="0.3">
      <c r="A6" s="12" t="s">
        <v>21</v>
      </c>
      <c r="B6" s="6" t="str">
        <f t="shared" si="0"/>
        <v>03-04</v>
      </c>
      <c r="C6" s="8" t="s">
        <v>22</v>
      </c>
      <c r="D6" s="8">
        <v>344</v>
      </c>
      <c r="E6" s="9" t="s">
        <v>9</v>
      </c>
      <c r="F6" s="10" t="s">
        <v>10</v>
      </c>
      <c r="G6" s="13" t="s">
        <v>23</v>
      </c>
      <c r="H6" s="13" t="s">
        <v>24</v>
      </c>
    </row>
    <row r="7" spans="1:8" x14ac:dyDescent="0.3">
      <c r="A7" s="12" t="s">
        <v>25</v>
      </c>
      <c r="B7" s="6" t="str">
        <f t="shared" si="0"/>
        <v>04-05</v>
      </c>
      <c r="C7" s="8" t="s">
        <v>16</v>
      </c>
      <c r="D7" s="8">
        <v>410</v>
      </c>
      <c r="E7" s="14" t="s">
        <v>9</v>
      </c>
      <c r="F7" s="10" t="s">
        <v>10</v>
      </c>
      <c r="G7" s="15" t="s">
        <v>26</v>
      </c>
      <c r="H7" s="15" t="s">
        <v>27</v>
      </c>
    </row>
    <row r="8" spans="1:8" x14ac:dyDescent="0.3">
      <c r="A8" s="12" t="s">
        <v>28</v>
      </c>
      <c r="B8" s="6" t="str">
        <f t="shared" si="0"/>
        <v>05-06</v>
      </c>
      <c r="C8" s="8" t="s">
        <v>16</v>
      </c>
      <c r="D8" s="8">
        <v>455</v>
      </c>
      <c r="E8" s="9" t="s">
        <v>9</v>
      </c>
      <c r="F8" s="10" t="s">
        <v>10</v>
      </c>
      <c r="G8" s="13" t="s">
        <v>29</v>
      </c>
      <c r="H8" s="13" t="s">
        <v>30</v>
      </c>
    </row>
    <row r="9" spans="1:8" x14ac:dyDescent="0.3">
      <c r="A9" s="12" t="s">
        <v>31</v>
      </c>
      <c r="B9" s="6" t="str">
        <f t="shared" si="0"/>
        <v>06-07</v>
      </c>
      <c r="C9" s="8" t="s">
        <v>16</v>
      </c>
      <c r="D9" s="8">
        <v>419</v>
      </c>
      <c r="E9" s="9" t="s">
        <v>9</v>
      </c>
      <c r="F9" s="10" t="s">
        <v>10</v>
      </c>
      <c r="G9" s="10">
        <v>11.494456</v>
      </c>
      <c r="H9" s="10">
        <v>108.85126099999999</v>
      </c>
    </row>
    <row r="10" spans="1:8" x14ac:dyDescent="0.3">
      <c r="A10" s="12" t="s">
        <v>32</v>
      </c>
      <c r="B10" s="6" t="str">
        <f t="shared" si="0"/>
        <v>07-08</v>
      </c>
      <c r="C10" s="8" t="s">
        <v>16</v>
      </c>
      <c r="D10" s="8">
        <v>375</v>
      </c>
      <c r="E10" s="9" t="s">
        <v>9</v>
      </c>
      <c r="F10" s="10" t="s">
        <v>10</v>
      </c>
      <c r="G10" s="11" t="s">
        <v>33</v>
      </c>
      <c r="H10" s="11" t="s">
        <v>34</v>
      </c>
    </row>
    <row r="11" spans="1:8" x14ac:dyDescent="0.3">
      <c r="A11" s="12" t="s">
        <v>35</v>
      </c>
      <c r="B11" s="6" t="str">
        <f t="shared" si="0"/>
        <v>08-09</v>
      </c>
      <c r="C11" s="8" t="s">
        <v>16</v>
      </c>
      <c r="D11" s="8">
        <v>395</v>
      </c>
      <c r="E11" s="9" t="s">
        <v>9</v>
      </c>
      <c r="F11" s="10" t="s">
        <v>10</v>
      </c>
      <c r="G11" s="11" t="s">
        <v>17</v>
      </c>
      <c r="H11" s="11" t="s">
        <v>36</v>
      </c>
    </row>
    <row r="12" spans="1:8" x14ac:dyDescent="0.3">
      <c r="A12" s="12" t="s">
        <v>37</v>
      </c>
      <c r="B12" s="6" t="str">
        <f t="shared" si="0"/>
        <v>09-10</v>
      </c>
      <c r="C12" s="8" t="s">
        <v>16</v>
      </c>
      <c r="D12" s="8">
        <v>353</v>
      </c>
      <c r="E12" s="9" t="s">
        <v>38</v>
      </c>
      <c r="F12" s="10" t="s">
        <v>10</v>
      </c>
      <c r="G12" s="11" t="s">
        <v>39</v>
      </c>
      <c r="H12" s="11" t="s">
        <v>40</v>
      </c>
    </row>
    <row r="13" spans="1:8" x14ac:dyDescent="0.3">
      <c r="A13" s="12" t="s">
        <v>41</v>
      </c>
      <c r="B13" s="6" t="str">
        <f t="shared" si="0"/>
        <v>10-11</v>
      </c>
      <c r="C13" s="8" t="s">
        <v>22</v>
      </c>
      <c r="D13" s="8">
        <v>417</v>
      </c>
      <c r="E13" s="9" t="s">
        <v>42</v>
      </c>
      <c r="F13" s="10" t="s">
        <v>10</v>
      </c>
      <c r="G13" s="11" t="s">
        <v>43</v>
      </c>
      <c r="H13" s="11" t="s">
        <v>44</v>
      </c>
    </row>
    <row r="14" spans="1:8" x14ac:dyDescent="0.3">
      <c r="A14" s="12" t="s">
        <v>45</v>
      </c>
      <c r="B14" s="6" t="str">
        <f t="shared" si="0"/>
        <v>11-12</v>
      </c>
      <c r="C14" s="8" t="s">
        <v>22</v>
      </c>
      <c r="D14" s="8">
        <v>390</v>
      </c>
      <c r="E14" s="9" t="s">
        <v>46</v>
      </c>
      <c r="F14" s="10" t="s">
        <v>10</v>
      </c>
      <c r="G14" s="11" t="s">
        <v>47</v>
      </c>
      <c r="H14" s="11" t="s">
        <v>48</v>
      </c>
    </row>
    <row r="15" spans="1:8" x14ac:dyDescent="0.3">
      <c r="A15" s="12" t="s">
        <v>49</v>
      </c>
      <c r="B15" s="6" t="str">
        <f t="shared" si="0"/>
        <v>12-13</v>
      </c>
      <c r="C15" s="8" t="s">
        <v>22</v>
      </c>
      <c r="D15" s="8">
        <v>284</v>
      </c>
      <c r="E15" s="9" t="s">
        <v>9</v>
      </c>
      <c r="F15" s="10" t="s">
        <v>10</v>
      </c>
      <c r="G15" s="11" t="s">
        <v>50</v>
      </c>
      <c r="H15" s="11" t="s">
        <v>51</v>
      </c>
    </row>
    <row r="16" spans="1:8" x14ac:dyDescent="0.3">
      <c r="A16" s="12" t="s">
        <v>52</v>
      </c>
      <c r="B16" s="6" t="str">
        <f t="shared" si="0"/>
        <v>13-14</v>
      </c>
      <c r="C16" s="8" t="s">
        <v>16</v>
      </c>
      <c r="D16" s="8">
        <v>296</v>
      </c>
      <c r="E16" s="9" t="s">
        <v>9</v>
      </c>
      <c r="F16" s="10" t="s">
        <v>10</v>
      </c>
      <c r="G16" s="11" t="s">
        <v>53</v>
      </c>
      <c r="H16" s="11" t="s">
        <v>54</v>
      </c>
    </row>
    <row r="17" spans="1:8" x14ac:dyDescent="0.3">
      <c r="A17" s="12" t="s">
        <v>55</v>
      </c>
      <c r="B17" s="6" t="str">
        <f t="shared" si="0"/>
        <v>14-15</v>
      </c>
      <c r="C17" s="8" t="s">
        <v>16</v>
      </c>
      <c r="D17" s="8">
        <v>450</v>
      </c>
      <c r="E17" s="9" t="s">
        <v>9</v>
      </c>
      <c r="F17" s="10" t="s">
        <v>10</v>
      </c>
      <c r="G17" s="11" t="s">
        <v>56</v>
      </c>
      <c r="H17" s="11" t="s">
        <v>57</v>
      </c>
    </row>
    <row r="18" spans="1:8" x14ac:dyDescent="0.3">
      <c r="A18" s="12" t="s">
        <v>58</v>
      </c>
      <c r="B18" s="6" t="str">
        <f t="shared" si="0"/>
        <v>15-16</v>
      </c>
      <c r="C18" s="8" t="s">
        <v>16</v>
      </c>
      <c r="D18" s="8">
        <v>442</v>
      </c>
      <c r="E18" s="9" t="s">
        <v>9</v>
      </c>
      <c r="F18" s="10" t="s">
        <v>10</v>
      </c>
      <c r="G18" s="11" t="s">
        <v>59</v>
      </c>
      <c r="H18" s="11" t="s">
        <v>60</v>
      </c>
    </row>
    <row r="19" spans="1:8" x14ac:dyDescent="0.3">
      <c r="A19" s="12" t="s">
        <v>61</v>
      </c>
      <c r="B19" s="6" t="str">
        <f t="shared" si="0"/>
        <v>16-17</v>
      </c>
      <c r="C19" s="8" t="s">
        <v>16</v>
      </c>
      <c r="D19" s="8">
        <v>412</v>
      </c>
      <c r="E19" s="9" t="s">
        <v>62</v>
      </c>
      <c r="F19" s="10" t="s">
        <v>10</v>
      </c>
      <c r="G19" s="11" t="s">
        <v>63</v>
      </c>
      <c r="H19" s="11" t="s">
        <v>64</v>
      </c>
    </row>
    <row r="20" spans="1:8" x14ac:dyDescent="0.3">
      <c r="A20" s="12" t="s">
        <v>65</v>
      </c>
      <c r="B20" s="6" t="str">
        <f t="shared" si="0"/>
        <v>17-18</v>
      </c>
      <c r="C20" s="8" t="s">
        <v>22</v>
      </c>
      <c r="D20" s="8">
        <v>603</v>
      </c>
      <c r="E20" s="9" t="s">
        <v>66</v>
      </c>
      <c r="F20" s="10" t="s">
        <v>10</v>
      </c>
      <c r="G20" s="11" t="s">
        <v>67</v>
      </c>
      <c r="H20" s="11" t="s">
        <v>68</v>
      </c>
    </row>
    <row r="21" spans="1:8" x14ac:dyDescent="0.3">
      <c r="A21" s="12" t="s">
        <v>69</v>
      </c>
      <c r="B21" s="6" t="str">
        <f t="shared" si="0"/>
        <v>18-19</v>
      </c>
      <c r="C21" s="8" t="s">
        <v>22</v>
      </c>
      <c r="D21" s="8">
        <v>455</v>
      </c>
      <c r="E21" s="9" t="s">
        <v>9</v>
      </c>
      <c r="F21" s="10" t="s">
        <v>10</v>
      </c>
      <c r="G21" s="11" t="s">
        <v>70</v>
      </c>
      <c r="H21" s="11" t="s">
        <v>71</v>
      </c>
    </row>
    <row r="22" spans="1:8" x14ac:dyDescent="0.3">
      <c r="A22" s="12" t="s">
        <v>72</v>
      </c>
      <c r="B22" s="6" t="str">
        <f t="shared" si="0"/>
        <v>19-20</v>
      </c>
      <c r="C22" s="8" t="s">
        <v>16</v>
      </c>
      <c r="D22" s="8">
        <v>519</v>
      </c>
      <c r="E22" s="9" t="s">
        <v>73</v>
      </c>
      <c r="F22" s="10" t="s">
        <v>10</v>
      </c>
      <c r="G22" s="11" t="s">
        <v>74</v>
      </c>
      <c r="H22" s="11" t="s">
        <v>75</v>
      </c>
    </row>
    <row r="23" spans="1:8" x14ac:dyDescent="0.3">
      <c r="A23" s="12" t="s">
        <v>76</v>
      </c>
      <c r="B23" s="6" t="str">
        <f t="shared" si="0"/>
        <v>20-21</v>
      </c>
      <c r="C23" s="8" t="s">
        <v>22</v>
      </c>
      <c r="D23" s="8">
        <v>393</v>
      </c>
      <c r="E23" s="9" t="s">
        <v>9</v>
      </c>
      <c r="F23" s="10" t="s">
        <v>10</v>
      </c>
      <c r="G23" s="11" t="s">
        <v>77</v>
      </c>
      <c r="H23" s="11" t="s">
        <v>78</v>
      </c>
    </row>
    <row r="24" spans="1:8" x14ac:dyDescent="0.3">
      <c r="A24" s="12" t="s">
        <v>79</v>
      </c>
      <c r="B24" s="6" t="str">
        <f t="shared" si="0"/>
        <v>21-22</v>
      </c>
      <c r="C24" s="8" t="s">
        <v>16</v>
      </c>
      <c r="D24" s="8">
        <v>352</v>
      </c>
      <c r="E24" s="9" t="s">
        <v>9</v>
      </c>
      <c r="F24" s="10" t="s">
        <v>10</v>
      </c>
      <c r="G24" s="11" t="s">
        <v>80</v>
      </c>
      <c r="H24" s="11" t="s">
        <v>81</v>
      </c>
    </row>
    <row r="25" spans="1:8" x14ac:dyDescent="0.3">
      <c r="A25" s="12" t="s">
        <v>82</v>
      </c>
      <c r="B25" s="6" t="str">
        <f t="shared" si="0"/>
        <v>22-23</v>
      </c>
      <c r="C25" s="8" t="s">
        <v>83</v>
      </c>
      <c r="D25" s="8">
        <v>309</v>
      </c>
      <c r="E25" s="9" t="s">
        <v>9</v>
      </c>
      <c r="F25" s="10" t="s">
        <v>10</v>
      </c>
      <c r="G25" s="11" t="s">
        <v>84</v>
      </c>
      <c r="H25" s="11" t="s">
        <v>85</v>
      </c>
    </row>
    <row r="26" spans="1:8" x14ac:dyDescent="0.3">
      <c r="A26" s="12" t="s">
        <v>86</v>
      </c>
      <c r="B26" s="6" t="str">
        <f t="shared" si="0"/>
        <v>23-24</v>
      </c>
      <c r="C26" s="8" t="s">
        <v>83</v>
      </c>
      <c r="D26" s="8">
        <v>257</v>
      </c>
      <c r="E26" s="9" t="s">
        <v>9</v>
      </c>
      <c r="F26" s="10" t="s">
        <v>10</v>
      </c>
      <c r="G26" s="11" t="s">
        <v>87</v>
      </c>
      <c r="H26" s="11" t="s">
        <v>88</v>
      </c>
    </row>
    <row r="27" spans="1:8" x14ac:dyDescent="0.3">
      <c r="A27" s="12" t="s">
        <v>89</v>
      </c>
      <c r="B27" s="6" t="str">
        <f t="shared" si="0"/>
        <v>24-25</v>
      </c>
      <c r="C27" s="8" t="s">
        <v>16</v>
      </c>
      <c r="D27" s="8">
        <v>461</v>
      </c>
      <c r="E27" s="9" t="s">
        <v>9</v>
      </c>
      <c r="F27" s="10" t="s">
        <v>10</v>
      </c>
      <c r="G27" s="11" t="s">
        <v>90</v>
      </c>
      <c r="H27" s="11" t="s">
        <v>91</v>
      </c>
    </row>
    <row r="28" spans="1:8" x14ac:dyDescent="0.3">
      <c r="A28" s="12" t="s">
        <v>92</v>
      </c>
      <c r="B28" s="6" t="str">
        <f t="shared" si="0"/>
        <v>25-26</v>
      </c>
      <c r="C28" s="8" t="s">
        <v>16</v>
      </c>
      <c r="D28" s="8">
        <v>476</v>
      </c>
      <c r="E28" s="9" t="s">
        <v>9</v>
      </c>
      <c r="F28" s="10" t="s">
        <v>10</v>
      </c>
      <c r="G28" s="11" t="s">
        <v>93</v>
      </c>
      <c r="H28" s="11" t="s">
        <v>94</v>
      </c>
    </row>
    <row r="29" spans="1:8" x14ac:dyDescent="0.3">
      <c r="A29" s="12" t="s">
        <v>95</v>
      </c>
      <c r="B29" s="6" t="str">
        <f t="shared" si="0"/>
        <v>26-27</v>
      </c>
      <c r="C29" s="8" t="s">
        <v>16</v>
      </c>
      <c r="D29" s="8">
        <v>486</v>
      </c>
      <c r="E29" s="9" t="s">
        <v>9</v>
      </c>
      <c r="F29" s="10" t="s">
        <v>10</v>
      </c>
      <c r="G29" s="11" t="s">
        <v>96</v>
      </c>
      <c r="H29" s="11" t="s">
        <v>97</v>
      </c>
    </row>
    <row r="30" spans="1:8" x14ac:dyDescent="0.3">
      <c r="A30" s="12" t="s">
        <v>98</v>
      </c>
      <c r="B30" s="6" t="str">
        <f t="shared" si="0"/>
        <v>27-28</v>
      </c>
      <c r="C30" s="8" t="s">
        <v>16</v>
      </c>
      <c r="D30" s="8">
        <v>298</v>
      </c>
      <c r="E30" s="9" t="s">
        <v>99</v>
      </c>
      <c r="F30" s="10" t="s">
        <v>10</v>
      </c>
      <c r="G30" s="11" t="s">
        <v>100</v>
      </c>
      <c r="H30" s="11" t="s">
        <v>101</v>
      </c>
    </row>
    <row r="31" spans="1:8" x14ac:dyDescent="0.3">
      <c r="A31" s="12" t="s">
        <v>102</v>
      </c>
      <c r="B31" s="6" t="str">
        <f t="shared" si="0"/>
        <v>28-29</v>
      </c>
      <c r="C31" s="8" t="s">
        <v>22</v>
      </c>
      <c r="D31" s="8">
        <v>431</v>
      </c>
      <c r="E31" s="9" t="s">
        <v>103</v>
      </c>
      <c r="F31" s="10" t="s">
        <v>10</v>
      </c>
      <c r="G31" s="11" t="s">
        <v>104</v>
      </c>
      <c r="H31" s="11" t="s">
        <v>54</v>
      </c>
    </row>
    <row r="32" spans="1:8" x14ac:dyDescent="0.3">
      <c r="A32" s="12" t="s">
        <v>105</v>
      </c>
      <c r="B32" s="6" t="str">
        <f t="shared" si="0"/>
        <v>29-30</v>
      </c>
      <c r="C32" s="8" t="s">
        <v>22</v>
      </c>
      <c r="D32" s="8">
        <v>336</v>
      </c>
      <c r="E32" s="9" t="s">
        <v>106</v>
      </c>
      <c r="F32" s="10" t="s">
        <v>10</v>
      </c>
      <c r="G32" s="11" t="s">
        <v>107</v>
      </c>
      <c r="H32" s="11" t="s">
        <v>108</v>
      </c>
    </row>
    <row r="33" spans="1:8" x14ac:dyDescent="0.3">
      <c r="A33" s="12" t="s">
        <v>109</v>
      </c>
      <c r="B33" s="6" t="str">
        <f t="shared" si="0"/>
        <v>30-31</v>
      </c>
      <c r="C33" s="8" t="s">
        <v>22</v>
      </c>
      <c r="D33" s="8">
        <v>910</v>
      </c>
      <c r="E33" s="9" t="s">
        <v>9</v>
      </c>
      <c r="F33" s="10" t="s">
        <v>10</v>
      </c>
      <c r="G33" s="11" t="s">
        <v>110</v>
      </c>
      <c r="H33" s="11" t="s">
        <v>111</v>
      </c>
    </row>
    <row r="34" spans="1:8" x14ac:dyDescent="0.3">
      <c r="A34" s="12" t="s">
        <v>112</v>
      </c>
      <c r="B34" s="6" t="str">
        <f t="shared" si="0"/>
        <v>31-32</v>
      </c>
      <c r="C34" s="8" t="s">
        <v>16</v>
      </c>
      <c r="D34" s="8">
        <v>215</v>
      </c>
      <c r="E34" s="9" t="s">
        <v>113</v>
      </c>
      <c r="F34" s="10" t="s">
        <v>10</v>
      </c>
      <c r="G34" s="11" t="s">
        <v>114</v>
      </c>
      <c r="H34" s="11" t="s">
        <v>115</v>
      </c>
    </row>
    <row r="35" spans="1:8" x14ac:dyDescent="0.3">
      <c r="A35" s="12" t="s">
        <v>116</v>
      </c>
      <c r="B35" s="6" t="str">
        <f t="shared" si="0"/>
        <v>32-33</v>
      </c>
      <c r="C35" s="8" t="s">
        <v>22</v>
      </c>
      <c r="D35" s="8">
        <v>39</v>
      </c>
      <c r="E35" s="9" t="s">
        <v>9</v>
      </c>
      <c r="F35" s="10" t="s">
        <v>10</v>
      </c>
      <c r="G35" s="11" t="s">
        <v>117</v>
      </c>
      <c r="H35" s="11" t="s">
        <v>118</v>
      </c>
    </row>
    <row r="36" spans="1:8" x14ac:dyDescent="0.3">
      <c r="A36" s="12" t="s">
        <v>119</v>
      </c>
      <c r="B36" s="6" t="str">
        <f t="shared" si="0"/>
        <v>33-34</v>
      </c>
      <c r="C36" s="8" t="s">
        <v>120</v>
      </c>
      <c r="D36" s="8">
        <v>168</v>
      </c>
      <c r="E36" s="9" t="s">
        <v>9</v>
      </c>
      <c r="F36" s="10" t="s">
        <v>10</v>
      </c>
      <c r="G36" s="11" t="s">
        <v>121</v>
      </c>
      <c r="H36" s="11" t="s">
        <v>122</v>
      </c>
    </row>
    <row r="37" spans="1:8" x14ac:dyDescent="0.3">
      <c r="A37" s="5" t="s">
        <v>123</v>
      </c>
      <c r="B37" s="6" t="str">
        <f t="shared" si="0"/>
        <v>34-T220TN</v>
      </c>
      <c r="C37" s="5"/>
      <c r="D37" s="8">
        <v>57</v>
      </c>
      <c r="E37" s="9" t="s">
        <v>9</v>
      </c>
      <c r="F37" s="10" t="s">
        <v>10</v>
      </c>
      <c r="G37" s="11"/>
      <c r="H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278NP-272TN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2026-04-02T05:18:47Z</dcterms:created>
  <dcterms:modified xsi:type="dcterms:W3CDTF">2026-04-05T13:13:48Z</dcterms:modified>
</cp:coreProperties>
</file>